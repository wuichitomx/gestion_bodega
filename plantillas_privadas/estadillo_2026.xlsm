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3" ContentType="application/binary"/>
  <Override PartName="/xl/commentsmeta1" ContentType="application/binary"/>
  <Override PartName="/xl/commentsmeta0" ContentType="application/binary"/>
  <Override PartName="/xl/commentsmeta2" ContentType="application/binary"/>
  <Override PartName="/xl/commentsmeta4" ContentType="application/binary"/>
  <Override PartName="/xl/commentsmeta5" ContentType="application/binary"/>
  <Override PartName="/xl/commentsmeta6" ContentType="application/binary"/>
  <Override PartName="/xl/commentsmeta7" ContentType="application/binary"/>
  <Override PartName="/xl/commentsmeta9" ContentType="application/binary"/>
  <Override PartName="/xl/commentsmeta8" ContentType="application/binary"/>
  <Override PartName="/xl/commentsmeta10" ContentType="application/binary"/>
  <Override PartName="/xl/commentsmeta1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G:\Otros ordenadores\Mi PC\Documents\2026\SEPTIEMBRE\CIERRE DE DIA\"/>
    </mc:Choice>
  </mc:AlternateContent>
  <xr:revisionPtr revIDLastSave="0" documentId="13_ncr:1_{5526A15D-A97A-4A2D-8611-6C8AD7BA00F9}" xr6:coauthVersionLast="47" xr6:coauthVersionMax="47" xr10:uidLastSave="{00000000-0000-0000-0000-000000000000}"/>
  <bookViews>
    <workbookView xWindow="-120" yWindow="-120" windowWidth="29040" windowHeight="15720" activeTab="8" xr2:uid="{00000000-000D-0000-FFFF-FFFF00000000}"/>
  </bookViews>
  <sheets>
    <sheet name="ENERO" sheetId="1" r:id="rId1"/>
    <sheet name="FEBRERO" sheetId="2" r:id="rId2"/>
    <sheet name="MARZO" sheetId="3" r:id="rId3"/>
    <sheet name="ABRIL" sheetId="4" r:id="rId4"/>
    <sheet name="MAYO" sheetId="5" r:id="rId5"/>
    <sheet name="JUNIO" sheetId="6" r:id="rId6"/>
    <sheet name="JULIO" sheetId="7" r:id="rId7"/>
    <sheet name="AGOSTO" sheetId="8" r:id="rId8"/>
    <sheet name="SEPTIEMBRE" sheetId="9" r:id="rId9"/>
    <sheet name="OCTUBRE" sheetId="10" r:id="rId10"/>
    <sheet name="NOVIEMBRE" sheetId="11" r:id="rId11"/>
    <sheet name="DICIEMBRE " sheetId="12" r:id="rId12"/>
    <sheet name="DTA" sheetId="13" state="hidden" r:id="rId13"/>
  </sheets>
  <definedNames>
    <definedName name="AS">#REF!</definedName>
    <definedName name="ASDE">#REF!</definedName>
    <definedName name="Bodega">#REF!</definedName>
    <definedName name="Codigo">#REF!</definedName>
    <definedName name="DFG">#REF!</definedName>
    <definedName name="ETTG">#REF!</definedName>
    <definedName name="GFTR">#REF!</definedName>
    <definedName name="GH">#REF!</definedName>
    <definedName name="GHJ">#REF!</definedName>
    <definedName name="ghyu">#REF!</definedName>
    <definedName name="HJU">#REF!</definedName>
    <definedName name="JHGKG">#REF!</definedName>
    <definedName name="jkuui">#REF!</definedName>
    <definedName name="juy">#REF!</definedName>
    <definedName name="KH">#REF!</definedName>
    <definedName name="Piso">#REF!</definedName>
    <definedName name="PPI">#REF!</definedName>
    <definedName name="qwe">#REF!</definedName>
  </definedNames>
  <calcPr calcId="191029"/>
  <extLst>
    <ext uri="GoogleSheetsCustomDataVersion2">
      <go:sheetsCustomData xmlns:go="http://customooxmlschemas.google.com/" r:id="rId17" roundtripDataChecksum="dda0gfoiTwzsvZbklv+w8CivqP2bFurWHOxo9/v9LSo="/>
    </ext>
  </extLst>
</workbook>
</file>

<file path=xl/calcChain.xml><?xml version="1.0" encoding="utf-8"?>
<calcChain xmlns="http://schemas.openxmlformats.org/spreadsheetml/2006/main">
  <c r="G5" i="13" l="1"/>
  <c r="G6" i="13" s="1"/>
  <c r="G7" i="13" s="1"/>
  <c r="G8" i="13" s="1"/>
  <c r="G9" i="13" s="1"/>
  <c r="BK47" i="12"/>
  <c r="BG47" i="12"/>
  <c r="BE47" i="12"/>
  <c r="AX47" i="12"/>
  <c r="AM47" i="12"/>
  <c r="AI47" i="12"/>
  <c r="AF47" i="12"/>
  <c r="K47" i="12"/>
  <c r="S48" i="12" s="1"/>
  <c r="E47" i="12"/>
  <c r="E48" i="12" s="1"/>
  <c r="BL46" i="12"/>
  <c r="BK46" i="12"/>
  <c r="BJ46" i="12"/>
  <c r="BJ47" i="12" s="1"/>
  <c r="BI46" i="12"/>
  <c r="BH46" i="12"/>
  <c r="BH47" i="12" s="1"/>
  <c r="BG46" i="12"/>
  <c r="BF46" i="12"/>
  <c r="BE46" i="12"/>
  <c r="BD46" i="12"/>
  <c r="BD47" i="12" s="1"/>
  <c r="BC46" i="12"/>
  <c r="BB46" i="12"/>
  <c r="BB47" i="12" s="1"/>
  <c r="BA46" i="12"/>
  <c r="BA47" i="12" s="1"/>
  <c r="AZ46" i="12"/>
  <c r="AY46" i="12"/>
  <c r="AY47" i="12" s="1"/>
  <c r="AX46" i="12"/>
  <c r="AW46" i="12"/>
  <c r="AV46" i="12"/>
  <c r="AV47" i="12" s="1"/>
  <c r="AU46" i="12"/>
  <c r="AU47" i="12" s="1"/>
  <c r="AT46" i="12"/>
  <c r="AS46" i="12"/>
  <c r="AS47" i="12" s="1"/>
  <c r="AR46" i="12"/>
  <c r="AR47" i="12" s="1"/>
  <c r="AQ46" i="12"/>
  <c r="AP46" i="12"/>
  <c r="AP47" i="12" s="1"/>
  <c r="AO46" i="12"/>
  <c r="AO47" i="12" s="1"/>
  <c r="AN46" i="12"/>
  <c r="AM46" i="12"/>
  <c r="AL46" i="12"/>
  <c r="AL47" i="12" s="1"/>
  <c r="AK46" i="12"/>
  <c r="AJ46" i="12"/>
  <c r="AJ47" i="12" s="1"/>
  <c r="AI46" i="12"/>
  <c r="AH46" i="12"/>
  <c r="AG46" i="12"/>
  <c r="AG47" i="12" s="1"/>
  <c r="AF46" i="12"/>
  <c r="AE46" i="12"/>
  <c r="AD46" i="12"/>
  <c r="AD47" i="12" s="1"/>
  <c r="AC46" i="12"/>
  <c r="AC47" i="12" s="1"/>
  <c r="N46" i="12"/>
  <c r="AA46" i="12" s="1"/>
  <c r="M46" i="12"/>
  <c r="G46" i="12"/>
  <c r="F46" i="12"/>
  <c r="BO45" i="12"/>
  <c r="BN45" i="12"/>
  <c r="BM45" i="12"/>
  <c r="Q45" i="12"/>
  <c r="P45" i="12"/>
  <c r="E45" i="12"/>
  <c r="BO44" i="12"/>
  <c r="BN44" i="12"/>
  <c r="BM44" i="12"/>
  <c r="Q44" i="12"/>
  <c r="P44" i="12"/>
  <c r="BO43" i="12"/>
  <c r="BN43" i="12"/>
  <c r="BM43" i="12"/>
  <c r="Q43" i="12"/>
  <c r="P43" i="12"/>
  <c r="BO42" i="12"/>
  <c r="BN42" i="12"/>
  <c r="BM42" i="12"/>
  <c r="Q42" i="12"/>
  <c r="P42" i="12"/>
  <c r="BO41" i="12"/>
  <c r="BN41" i="12"/>
  <c r="BM41" i="12"/>
  <c r="Q41" i="12"/>
  <c r="P41" i="12"/>
  <c r="BO40" i="12"/>
  <c r="BN40" i="12"/>
  <c r="BM40" i="12"/>
  <c r="Q40" i="12"/>
  <c r="P40" i="12"/>
  <c r="BO39" i="12"/>
  <c r="BN39" i="12"/>
  <c r="BM39" i="12"/>
  <c r="Q39" i="12"/>
  <c r="P39" i="12"/>
  <c r="BO38" i="12"/>
  <c r="BN38" i="12"/>
  <c r="BM38" i="12"/>
  <c r="Q38" i="12"/>
  <c r="P38" i="12"/>
  <c r="BO37" i="12"/>
  <c r="BN37" i="12"/>
  <c r="BM37" i="12"/>
  <c r="Q37" i="12"/>
  <c r="P37" i="12"/>
  <c r="BO36" i="12"/>
  <c r="BN36" i="12"/>
  <c r="BM36" i="12"/>
  <c r="Q36" i="12"/>
  <c r="P36" i="12"/>
  <c r="BO35" i="12"/>
  <c r="BN35" i="12"/>
  <c r="BM35" i="12"/>
  <c r="Q35" i="12"/>
  <c r="P35" i="12"/>
  <c r="BO34" i="12"/>
  <c r="BN34" i="12"/>
  <c r="BM34" i="12"/>
  <c r="Q34" i="12"/>
  <c r="P34" i="12"/>
  <c r="BO33" i="12"/>
  <c r="BN33" i="12"/>
  <c r="BM33" i="12"/>
  <c r="Q33" i="12"/>
  <c r="P33" i="12"/>
  <c r="BO32" i="12"/>
  <c r="BN32" i="12"/>
  <c r="BM32" i="12"/>
  <c r="P32" i="12"/>
  <c r="D32" i="12"/>
  <c r="Q32" i="12" s="1"/>
  <c r="BO31" i="12"/>
  <c r="BN31" i="12"/>
  <c r="BM31" i="12"/>
  <c r="Q31" i="12"/>
  <c r="P31" i="12"/>
  <c r="BO30" i="12"/>
  <c r="BN30" i="12"/>
  <c r="BM30" i="12"/>
  <c r="Q30" i="12"/>
  <c r="P30" i="12"/>
  <c r="BO29" i="12"/>
  <c r="BN29" i="12"/>
  <c r="BM29" i="12"/>
  <c r="Q29" i="12"/>
  <c r="P29" i="12"/>
  <c r="BO28" i="12"/>
  <c r="BN28" i="12"/>
  <c r="BM28" i="12"/>
  <c r="Q28" i="12"/>
  <c r="P28" i="12"/>
  <c r="BO27" i="12"/>
  <c r="BN27" i="12"/>
  <c r="BM27" i="12"/>
  <c r="Q27" i="12"/>
  <c r="P27" i="12"/>
  <c r="BO26" i="12"/>
  <c r="BN26" i="12"/>
  <c r="BM26" i="12"/>
  <c r="Q26" i="12"/>
  <c r="P26" i="12"/>
  <c r="BO25" i="12"/>
  <c r="BN25" i="12"/>
  <c r="BM25" i="12"/>
  <c r="Q25" i="12"/>
  <c r="P25" i="12"/>
  <c r="BO24" i="12"/>
  <c r="BN24" i="12"/>
  <c r="BM24" i="12"/>
  <c r="Q24" i="12"/>
  <c r="P24" i="12"/>
  <c r="BO23" i="12"/>
  <c r="BN23" i="12"/>
  <c r="BM23" i="12"/>
  <c r="Q23" i="12"/>
  <c r="P23" i="12"/>
  <c r="BO22" i="12"/>
  <c r="BN22" i="12"/>
  <c r="BM22" i="12"/>
  <c r="Q22" i="12"/>
  <c r="P22" i="12"/>
  <c r="BO21" i="12"/>
  <c r="BN21" i="12"/>
  <c r="BM21" i="12"/>
  <c r="Q21" i="12"/>
  <c r="P21" i="12"/>
  <c r="BO20" i="12"/>
  <c r="BN20" i="12"/>
  <c r="BM20" i="12"/>
  <c r="Q20" i="12"/>
  <c r="P20" i="12"/>
  <c r="BO19" i="12"/>
  <c r="BN19" i="12"/>
  <c r="BM19" i="12"/>
  <c r="Q19" i="12"/>
  <c r="P19" i="12"/>
  <c r="BO18" i="12"/>
  <c r="BN18" i="12"/>
  <c r="BM18" i="12"/>
  <c r="Q18" i="12"/>
  <c r="P18" i="12"/>
  <c r="BO17" i="12"/>
  <c r="BN17" i="12"/>
  <c r="BM17" i="12"/>
  <c r="Q17" i="12"/>
  <c r="P17" i="12"/>
  <c r="BO16" i="12"/>
  <c r="BN16" i="12"/>
  <c r="BM16" i="12"/>
  <c r="Q16" i="12"/>
  <c r="P16" i="12"/>
  <c r="BO15" i="12"/>
  <c r="BO46" i="12" s="1"/>
  <c r="BO49" i="12" s="1"/>
  <c r="BN15" i="12"/>
  <c r="BN46" i="12" s="1"/>
  <c r="BM15" i="12"/>
  <c r="BM46" i="12" s="1"/>
  <c r="AA15" i="12"/>
  <c r="Q15" i="12"/>
  <c r="P15" i="12"/>
  <c r="L15" i="12"/>
  <c r="L16" i="12" s="1"/>
  <c r="E15" i="12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E28" i="12" s="1"/>
  <c r="E29" i="12" s="1"/>
  <c r="E30" i="12" s="1"/>
  <c r="E31" i="12" s="1"/>
  <c r="V13" i="12"/>
  <c r="S10" i="12"/>
  <c r="R10" i="12"/>
  <c r="Q10" i="12"/>
  <c r="H14" i="12" s="1"/>
  <c r="H15" i="12" s="1"/>
  <c r="E1" i="12"/>
  <c r="D1" i="12"/>
  <c r="C1" i="12"/>
  <c r="A14" i="12" s="1"/>
  <c r="A15" i="12" s="1"/>
  <c r="BJ47" i="11"/>
  <c r="BH47" i="11"/>
  <c r="BE47" i="11"/>
  <c r="AY47" i="11"/>
  <c r="AX47" i="11"/>
  <c r="AV47" i="11"/>
  <c r="AM47" i="11"/>
  <c r="AD47" i="11"/>
  <c r="E47" i="11"/>
  <c r="E48" i="11" s="1"/>
  <c r="BL46" i="11"/>
  <c r="BK47" i="11" s="1"/>
  <c r="BK46" i="11"/>
  <c r="BJ46" i="11"/>
  <c r="BI46" i="11"/>
  <c r="BH46" i="11"/>
  <c r="BG46" i="11"/>
  <c r="BG47" i="11" s="1"/>
  <c r="BF46" i="11"/>
  <c r="BE46" i="11"/>
  <c r="BD46" i="11"/>
  <c r="BD47" i="11" s="1"/>
  <c r="BC46" i="11"/>
  <c r="BB46" i="11"/>
  <c r="BB47" i="11" s="1"/>
  <c r="BA46" i="11"/>
  <c r="BA47" i="11" s="1"/>
  <c r="AZ46" i="11"/>
  <c r="AY46" i="11"/>
  <c r="AX46" i="11"/>
  <c r="AW46" i="11"/>
  <c r="AV46" i="11"/>
  <c r="AU46" i="11"/>
  <c r="AU47" i="11" s="1"/>
  <c r="AT46" i="11"/>
  <c r="AS46" i="11"/>
  <c r="AS47" i="11" s="1"/>
  <c r="AR46" i="11"/>
  <c r="AR47" i="11" s="1"/>
  <c r="AQ46" i="11"/>
  <c r="AP47" i="11" s="1"/>
  <c r="AP46" i="11"/>
  <c r="AO46" i="11"/>
  <c r="AO47" i="11" s="1"/>
  <c r="AN46" i="11"/>
  <c r="AM46" i="11"/>
  <c r="AL46" i="11"/>
  <c r="AL47" i="11" s="1"/>
  <c r="AK46" i="11"/>
  <c r="AJ46" i="11"/>
  <c r="AJ47" i="11" s="1"/>
  <c r="AI46" i="11"/>
  <c r="AI47" i="11" s="1"/>
  <c r="AH46" i="11"/>
  <c r="AG47" i="11" s="1"/>
  <c r="AG46" i="11"/>
  <c r="AF46" i="11"/>
  <c r="AF47" i="11" s="1"/>
  <c r="AE46" i="11"/>
  <c r="AD46" i="11"/>
  <c r="AC46" i="11"/>
  <c r="AC47" i="11" s="1"/>
  <c r="N46" i="11"/>
  <c r="M46" i="11"/>
  <c r="AA46" i="11" s="1"/>
  <c r="G46" i="11"/>
  <c r="F46" i="11"/>
  <c r="BO45" i="11"/>
  <c r="BN45" i="11"/>
  <c r="BM45" i="11"/>
  <c r="S45" i="11"/>
  <c r="R45" i="11"/>
  <c r="Q45" i="11"/>
  <c r="P45" i="11"/>
  <c r="L45" i="11"/>
  <c r="AA45" i="11" s="1"/>
  <c r="E45" i="11"/>
  <c r="BO44" i="11"/>
  <c r="BN44" i="11"/>
  <c r="BM44" i="11"/>
  <c r="Q44" i="11"/>
  <c r="P44" i="11"/>
  <c r="BO43" i="11"/>
  <c r="BN43" i="11"/>
  <c r="BM43" i="11"/>
  <c r="Q43" i="11"/>
  <c r="P43" i="11"/>
  <c r="BO42" i="11"/>
  <c r="BN42" i="11"/>
  <c r="BM42" i="11"/>
  <c r="Q42" i="11"/>
  <c r="P42" i="11"/>
  <c r="BO41" i="11"/>
  <c r="BN41" i="11"/>
  <c r="BM41" i="11"/>
  <c r="Q41" i="11"/>
  <c r="P41" i="11"/>
  <c r="BO40" i="11"/>
  <c r="BN40" i="11"/>
  <c r="BM40" i="11"/>
  <c r="Q40" i="11"/>
  <c r="P40" i="11"/>
  <c r="BO39" i="11"/>
  <c r="BN39" i="11"/>
  <c r="BM39" i="11"/>
  <c r="Q39" i="11"/>
  <c r="P39" i="11"/>
  <c r="BO38" i="11"/>
  <c r="BN38" i="11"/>
  <c r="BM38" i="11"/>
  <c r="Q38" i="11"/>
  <c r="P38" i="11"/>
  <c r="BO37" i="11"/>
  <c r="BN37" i="11"/>
  <c r="BM37" i="11"/>
  <c r="Q37" i="11"/>
  <c r="P37" i="11"/>
  <c r="BO36" i="11"/>
  <c r="BN36" i="11"/>
  <c r="BM36" i="11"/>
  <c r="Q36" i="11"/>
  <c r="P36" i="11"/>
  <c r="BO35" i="11"/>
  <c r="BN35" i="11"/>
  <c r="BM35" i="11"/>
  <c r="Q35" i="11"/>
  <c r="P35" i="11"/>
  <c r="BO34" i="11"/>
  <c r="BN34" i="11"/>
  <c r="BM34" i="11"/>
  <c r="Q34" i="11"/>
  <c r="P34" i="11"/>
  <c r="BO33" i="11"/>
  <c r="BN33" i="11"/>
  <c r="BM33" i="11"/>
  <c r="Q33" i="11"/>
  <c r="P33" i="11"/>
  <c r="BO32" i="11"/>
  <c r="BN32" i="11"/>
  <c r="BM32" i="11"/>
  <c r="Q32" i="11"/>
  <c r="P32" i="11"/>
  <c r="D32" i="11"/>
  <c r="BO31" i="11"/>
  <c r="BN31" i="11"/>
  <c r="BM31" i="11"/>
  <c r="Q31" i="11"/>
  <c r="P31" i="11"/>
  <c r="BO30" i="11"/>
  <c r="BN30" i="11"/>
  <c r="BM30" i="11"/>
  <c r="K30" i="11"/>
  <c r="BO29" i="11"/>
  <c r="BN29" i="11"/>
  <c r="BM29" i="11"/>
  <c r="Q29" i="11"/>
  <c r="P29" i="11"/>
  <c r="BO28" i="11"/>
  <c r="BN28" i="11"/>
  <c r="BM28" i="11"/>
  <c r="Q28" i="11"/>
  <c r="P28" i="11"/>
  <c r="K28" i="11"/>
  <c r="BO27" i="11"/>
  <c r="BN27" i="11"/>
  <c r="BM27" i="11"/>
  <c r="Q27" i="11"/>
  <c r="P27" i="11"/>
  <c r="K27" i="11"/>
  <c r="K47" i="11" s="1"/>
  <c r="BO26" i="11"/>
  <c r="BN26" i="11"/>
  <c r="BM26" i="11"/>
  <c r="Q26" i="11"/>
  <c r="P26" i="11"/>
  <c r="BO25" i="11"/>
  <c r="BN25" i="11"/>
  <c r="BM25" i="11"/>
  <c r="Q25" i="11"/>
  <c r="P25" i="11"/>
  <c r="BO24" i="11"/>
  <c r="BN24" i="11"/>
  <c r="BM24" i="11"/>
  <c r="Q24" i="11"/>
  <c r="P24" i="11"/>
  <c r="BO23" i="11"/>
  <c r="BN23" i="11"/>
  <c r="BM23" i="11"/>
  <c r="Q23" i="11"/>
  <c r="P23" i="11"/>
  <c r="BO22" i="11"/>
  <c r="BN22" i="11"/>
  <c r="BM22" i="11"/>
  <c r="Q22" i="11"/>
  <c r="P22" i="11"/>
  <c r="BO21" i="11"/>
  <c r="BN21" i="11"/>
  <c r="BM21" i="11"/>
  <c r="Q21" i="11"/>
  <c r="P21" i="11"/>
  <c r="BO20" i="11"/>
  <c r="BN20" i="11"/>
  <c r="BM20" i="11"/>
  <c r="Q20" i="11"/>
  <c r="P20" i="11"/>
  <c r="BO19" i="11"/>
  <c r="BN19" i="11"/>
  <c r="BM19" i="11"/>
  <c r="Q19" i="11"/>
  <c r="P19" i="11"/>
  <c r="BO18" i="11"/>
  <c r="BN18" i="11"/>
  <c r="BM18" i="11"/>
  <c r="Q18" i="11"/>
  <c r="P18" i="11"/>
  <c r="BO17" i="11"/>
  <c r="BN17" i="11"/>
  <c r="BM17" i="11"/>
  <c r="Q17" i="11"/>
  <c r="P17" i="11"/>
  <c r="BO16" i="11"/>
  <c r="BN16" i="11"/>
  <c r="BM16" i="11"/>
  <c r="Q16" i="11"/>
  <c r="P16" i="11"/>
  <c r="L16" i="11"/>
  <c r="BO15" i="11"/>
  <c r="BN15" i="11"/>
  <c r="BM15" i="11"/>
  <c r="AA15" i="11"/>
  <c r="Z15" i="11"/>
  <c r="Q15" i="11"/>
  <c r="P15" i="11"/>
  <c r="L15" i="11"/>
  <c r="E15" i="11"/>
  <c r="S10" i="11"/>
  <c r="R10" i="11"/>
  <c r="H14" i="11" s="1"/>
  <c r="H15" i="11" s="1"/>
  <c r="Q10" i="11"/>
  <c r="E1" i="11"/>
  <c r="D1" i="11"/>
  <c r="C1" i="11"/>
  <c r="A14" i="11" s="1"/>
  <c r="A15" i="11" s="1"/>
  <c r="K48" i="10"/>
  <c r="BH47" i="10"/>
  <c r="AV47" i="10"/>
  <c r="AG47" i="10"/>
  <c r="AD47" i="10"/>
  <c r="K47" i="10"/>
  <c r="E47" i="10"/>
  <c r="BL46" i="10"/>
  <c r="BJ47" i="10" s="1"/>
  <c r="BK46" i="10"/>
  <c r="BK47" i="10" s="1"/>
  <c r="BJ46" i="10"/>
  <c r="BI46" i="10"/>
  <c r="BH46" i="10"/>
  <c r="BG46" i="10"/>
  <c r="BG47" i="10" s="1"/>
  <c r="BF46" i="10"/>
  <c r="BE46" i="10"/>
  <c r="BE47" i="10" s="1"/>
  <c r="BD46" i="10"/>
  <c r="BD47" i="10" s="1"/>
  <c r="BC46" i="10"/>
  <c r="BB46" i="10"/>
  <c r="BA46" i="10"/>
  <c r="AZ46" i="10"/>
  <c r="AY47" i="10" s="1"/>
  <c r="AY46" i="10"/>
  <c r="AX46" i="10"/>
  <c r="AW46" i="10"/>
  <c r="AV46" i="10"/>
  <c r="AU46" i="10"/>
  <c r="AU47" i="10" s="1"/>
  <c r="AT46" i="10"/>
  <c r="AS46" i="10"/>
  <c r="AS47" i="10" s="1"/>
  <c r="AR46" i="10"/>
  <c r="AR47" i="10" s="1"/>
  <c r="AQ46" i="10"/>
  <c r="AO47" i="10" s="1"/>
  <c r="AP46" i="10"/>
  <c r="AO46" i="10"/>
  <c r="AN46" i="10"/>
  <c r="AL47" i="10" s="1"/>
  <c r="AM46" i="10"/>
  <c r="AM47" i="10" s="1"/>
  <c r="AL46" i="10"/>
  <c r="AK46" i="10"/>
  <c r="AJ47" i="10" s="1"/>
  <c r="AJ46" i="10"/>
  <c r="AI46" i="10"/>
  <c r="AI47" i="10" s="1"/>
  <c r="AH46" i="10"/>
  <c r="AG46" i="10"/>
  <c r="AF46" i="10"/>
  <c r="AF47" i="10" s="1"/>
  <c r="AE46" i="10"/>
  <c r="AC47" i="10" s="1"/>
  <c r="AD46" i="10"/>
  <c r="AC46" i="10"/>
  <c r="AA46" i="10"/>
  <c r="Z46" i="10"/>
  <c r="N46" i="10"/>
  <c r="M46" i="10"/>
  <c r="G46" i="10"/>
  <c r="F46" i="10"/>
  <c r="BO45" i="10"/>
  <c r="BN45" i="10"/>
  <c r="BM45" i="10"/>
  <c r="Q45" i="10"/>
  <c r="P45" i="10"/>
  <c r="BO44" i="10"/>
  <c r="BN44" i="10"/>
  <c r="BM44" i="10"/>
  <c r="Q44" i="10"/>
  <c r="P44" i="10"/>
  <c r="BO43" i="10"/>
  <c r="BN43" i="10"/>
  <c r="BM43" i="10"/>
  <c r="Q43" i="10"/>
  <c r="P43" i="10"/>
  <c r="BO42" i="10"/>
  <c r="BN42" i="10"/>
  <c r="BM42" i="10"/>
  <c r="Q42" i="10"/>
  <c r="P42" i="10"/>
  <c r="BO41" i="10"/>
  <c r="BN41" i="10"/>
  <c r="BM41" i="10"/>
  <c r="Q41" i="10"/>
  <c r="P41" i="10"/>
  <c r="BO40" i="10"/>
  <c r="BN40" i="10"/>
  <c r="BM40" i="10"/>
  <c r="Q40" i="10"/>
  <c r="P40" i="10"/>
  <c r="BO39" i="10"/>
  <c r="BN39" i="10"/>
  <c r="BM39" i="10"/>
  <c r="Q39" i="10"/>
  <c r="P39" i="10"/>
  <c r="BO38" i="10"/>
  <c r="BN38" i="10"/>
  <c r="BM38" i="10"/>
  <c r="Q38" i="10"/>
  <c r="P38" i="10"/>
  <c r="BO37" i="10"/>
  <c r="BN37" i="10"/>
  <c r="BM37" i="10"/>
  <c r="Q37" i="10"/>
  <c r="P37" i="10"/>
  <c r="BO36" i="10"/>
  <c r="BN36" i="10"/>
  <c r="BM36" i="10"/>
  <c r="Q36" i="10"/>
  <c r="P36" i="10"/>
  <c r="BO35" i="10"/>
  <c r="BN35" i="10"/>
  <c r="BM35" i="10"/>
  <c r="Q35" i="10"/>
  <c r="P35" i="10"/>
  <c r="BO34" i="10"/>
  <c r="BN34" i="10"/>
  <c r="BM34" i="10"/>
  <c r="Q34" i="10"/>
  <c r="P34" i="10"/>
  <c r="BO33" i="10"/>
  <c r="BN33" i="10"/>
  <c r="BM33" i="10"/>
  <c r="Q33" i="10"/>
  <c r="P33" i="10"/>
  <c r="BO32" i="10"/>
  <c r="BN32" i="10"/>
  <c r="BM32" i="10"/>
  <c r="Q32" i="10"/>
  <c r="P32" i="10"/>
  <c r="BO31" i="10"/>
  <c r="BN31" i="10"/>
  <c r="BM31" i="10"/>
  <c r="Q31" i="10"/>
  <c r="P31" i="10"/>
  <c r="BO30" i="10"/>
  <c r="BN30" i="10"/>
  <c r="BM30" i="10"/>
  <c r="Q30" i="10"/>
  <c r="P30" i="10"/>
  <c r="BO29" i="10"/>
  <c r="BN29" i="10"/>
  <c r="BM29" i="10"/>
  <c r="Q29" i="10"/>
  <c r="P29" i="10"/>
  <c r="BO28" i="10"/>
  <c r="BN28" i="10"/>
  <c r="BM28" i="10"/>
  <c r="Q28" i="10"/>
  <c r="P28" i="10"/>
  <c r="BO27" i="10"/>
  <c r="BN27" i="10"/>
  <c r="BM27" i="10"/>
  <c r="Q27" i="10"/>
  <c r="P27" i="10"/>
  <c r="BO26" i="10"/>
  <c r="BN26" i="10"/>
  <c r="BM26" i="10"/>
  <c r="Q26" i="10"/>
  <c r="P26" i="10"/>
  <c r="BO25" i="10"/>
  <c r="BN25" i="10"/>
  <c r="BM25" i="10"/>
  <c r="Q25" i="10"/>
  <c r="P25" i="10"/>
  <c r="BO24" i="10"/>
  <c r="BN24" i="10"/>
  <c r="BM24" i="10"/>
  <c r="Q24" i="10"/>
  <c r="P24" i="10"/>
  <c r="BO23" i="10"/>
  <c r="BN23" i="10"/>
  <c r="BM23" i="10"/>
  <c r="Q23" i="10"/>
  <c r="P23" i="10"/>
  <c r="BO22" i="10"/>
  <c r="BN22" i="10"/>
  <c r="BM22" i="10"/>
  <c r="Q22" i="10"/>
  <c r="P22" i="10"/>
  <c r="BO21" i="10"/>
  <c r="BN21" i="10"/>
  <c r="BM21" i="10"/>
  <c r="Q21" i="10"/>
  <c r="P21" i="10"/>
  <c r="BO20" i="10"/>
  <c r="BN20" i="10"/>
  <c r="BM20" i="10"/>
  <c r="Q20" i="10"/>
  <c r="P20" i="10"/>
  <c r="BO19" i="10"/>
  <c r="BN19" i="10"/>
  <c r="BM19" i="10"/>
  <c r="Q19" i="10"/>
  <c r="P19" i="10"/>
  <c r="BO18" i="10"/>
  <c r="BN18" i="10"/>
  <c r="BM18" i="10"/>
  <c r="Q18" i="10"/>
  <c r="P18" i="10"/>
  <c r="BO17" i="10"/>
  <c r="BN17" i="10"/>
  <c r="BM17" i="10"/>
  <c r="Q17" i="10"/>
  <c r="P17" i="10"/>
  <c r="BO16" i="10"/>
  <c r="BN16" i="10"/>
  <c r="BM16" i="10"/>
  <c r="Q16" i="10"/>
  <c r="P16" i="10"/>
  <c r="L16" i="10"/>
  <c r="E16" i="10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BO15" i="10"/>
  <c r="BN15" i="10"/>
  <c r="BM15" i="10"/>
  <c r="R15" i="10"/>
  <c r="Q15" i="10"/>
  <c r="P15" i="10"/>
  <c r="L15" i="10"/>
  <c r="E15" i="10"/>
  <c r="V13" i="10"/>
  <c r="S10" i="10"/>
  <c r="R10" i="10"/>
  <c r="H14" i="10" s="1"/>
  <c r="H15" i="10" s="1"/>
  <c r="Q10" i="10"/>
  <c r="E1" i="10"/>
  <c r="D1" i="10"/>
  <c r="A14" i="10" s="1"/>
  <c r="A15" i="10" s="1"/>
  <c r="C1" i="10"/>
  <c r="BD47" i="9"/>
  <c r="BA47" i="9"/>
  <c r="AV47" i="9"/>
  <c r="AO47" i="9"/>
  <c r="AG47" i="9"/>
  <c r="AD47" i="9"/>
  <c r="K47" i="9"/>
  <c r="R48" i="9" s="1"/>
  <c r="E47" i="9"/>
  <c r="BL46" i="9"/>
  <c r="BK46" i="9"/>
  <c r="BK47" i="9" s="1"/>
  <c r="BJ46" i="9"/>
  <c r="BJ47" i="9" s="1"/>
  <c r="BI46" i="9"/>
  <c r="BH46" i="9"/>
  <c r="BH47" i="9" s="1"/>
  <c r="BG46" i="9"/>
  <c r="BG47" i="9" s="1"/>
  <c r="BF46" i="9"/>
  <c r="BE46" i="9"/>
  <c r="BE47" i="9" s="1"/>
  <c r="BD46" i="9"/>
  <c r="BC46" i="9"/>
  <c r="BB46" i="9"/>
  <c r="BB47" i="9" s="1"/>
  <c r="BA46" i="9"/>
  <c r="AZ46" i="9"/>
  <c r="AY46" i="9"/>
  <c r="AY47" i="9" s="1"/>
  <c r="AX46" i="9"/>
  <c r="AX47" i="9" s="1"/>
  <c r="AW46" i="9"/>
  <c r="AV46" i="9"/>
  <c r="AU46" i="9"/>
  <c r="AU47" i="9" s="1"/>
  <c r="AT46" i="9"/>
  <c r="AS46" i="9"/>
  <c r="AS47" i="9" s="1"/>
  <c r="AR46" i="9"/>
  <c r="AR47" i="9" s="1"/>
  <c r="AQ46" i="9"/>
  <c r="AP46" i="9"/>
  <c r="AP47" i="9" s="1"/>
  <c r="AO46" i="9"/>
  <c r="AN46" i="9"/>
  <c r="AM46" i="9"/>
  <c r="AM47" i="9" s="1"/>
  <c r="AL46" i="9"/>
  <c r="AL47" i="9" s="1"/>
  <c r="AK46" i="9"/>
  <c r="AJ46" i="9"/>
  <c r="AJ47" i="9" s="1"/>
  <c r="AI46" i="9"/>
  <c r="AI47" i="9" s="1"/>
  <c r="AH46" i="9"/>
  <c r="AG46" i="9"/>
  <c r="AF46" i="9"/>
  <c r="AF47" i="9" s="1"/>
  <c r="AE46" i="9"/>
  <c r="AD46" i="9"/>
  <c r="AC46" i="9"/>
  <c r="AC47" i="9" s="1"/>
  <c r="N46" i="9"/>
  <c r="M46" i="9"/>
  <c r="G46" i="9"/>
  <c r="F46" i="9"/>
  <c r="BO45" i="9"/>
  <c r="BN45" i="9"/>
  <c r="BM45" i="9"/>
  <c r="R45" i="9"/>
  <c r="Q45" i="9"/>
  <c r="P45" i="9"/>
  <c r="L45" i="9"/>
  <c r="AA45" i="9" s="1"/>
  <c r="E45" i="9"/>
  <c r="BO44" i="9"/>
  <c r="BN44" i="9"/>
  <c r="BM44" i="9"/>
  <c r="R44" i="9"/>
  <c r="Q44" i="9"/>
  <c r="P44" i="9"/>
  <c r="L44" i="9"/>
  <c r="AA44" i="9" s="1"/>
  <c r="BO43" i="9"/>
  <c r="BN43" i="9"/>
  <c r="BM43" i="9"/>
  <c r="R43" i="9"/>
  <c r="Q43" i="9"/>
  <c r="P43" i="9"/>
  <c r="L43" i="9"/>
  <c r="AA43" i="9" s="1"/>
  <c r="BO42" i="9"/>
  <c r="BN42" i="9"/>
  <c r="BM42" i="9"/>
  <c r="Z42" i="9"/>
  <c r="R42" i="9"/>
  <c r="Q42" i="9"/>
  <c r="P42" i="9"/>
  <c r="L42" i="9"/>
  <c r="AA42" i="9" s="1"/>
  <c r="BO41" i="9"/>
  <c r="BN41" i="9"/>
  <c r="BM41" i="9"/>
  <c r="R41" i="9"/>
  <c r="Q41" i="9"/>
  <c r="P41" i="9"/>
  <c r="L41" i="9"/>
  <c r="Z41" i="9" s="1"/>
  <c r="BO40" i="9"/>
  <c r="BN40" i="9"/>
  <c r="BM40" i="9"/>
  <c r="R40" i="9"/>
  <c r="Q40" i="9"/>
  <c r="P40" i="9"/>
  <c r="L40" i="9"/>
  <c r="AA40" i="9" s="1"/>
  <c r="BO39" i="9"/>
  <c r="BN39" i="9"/>
  <c r="BM39" i="9"/>
  <c r="Z39" i="9"/>
  <c r="R39" i="9"/>
  <c r="Q39" i="9"/>
  <c r="P39" i="9"/>
  <c r="L39" i="9"/>
  <c r="AA39" i="9" s="1"/>
  <c r="BO38" i="9"/>
  <c r="BN38" i="9"/>
  <c r="BM38" i="9"/>
  <c r="R38" i="9"/>
  <c r="Q38" i="9"/>
  <c r="P38" i="9"/>
  <c r="L38" i="9"/>
  <c r="BO37" i="9"/>
  <c r="BN37" i="9"/>
  <c r="BM37" i="9"/>
  <c r="R37" i="9"/>
  <c r="Q37" i="9"/>
  <c r="P37" i="9"/>
  <c r="L37" i="9"/>
  <c r="AA37" i="9" s="1"/>
  <c r="BO36" i="9"/>
  <c r="BN36" i="9"/>
  <c r="BM36" i="9"/>
  <c r="R36" i="9"/>
  <c r="Q36" i="9"/>
  <c r="P36" i="9"/>
  <c r="L36" i="9"/>
  <c r="BO35" i="9"/>
  <c r="BN35" i="9"/>
  <c r="BM35" i="9"/>
  <c r="R35" i="9"/>
  <c r="Q35" i="9"/>
  <c r="P35" i="9"/>
  <c r="L35" i="9"/>
  <c r="AA35" i="9" s="1"/>
  <c r="BO34" i="9"/>
  <c r="BN34" i="9"/>
  <c r="BM34" i="9"/>
  <c r="R34" i="9"/>
  <c r="Q34" i="9"/>
  <c r="P34" i="9"/>
  <c r="L34" i="9"/>
  <c r="AA34" i="9" s="1"/>
  <c r="BO33" i="9"/>
  <c r="BN33" i="9"/>
  <c r="BM33" i="9"/>
  <c r="R33" i="9"/>
  <c r="Q33" i="9"/>
  <c r="P33" i="9"/>
  <c r="L33" i="9"/>
  <c r="BO32" i="9"/>
  <c r="BN32" i="9"/>
  <c r="BM32" i="9"/>
  <c r="R32" i="9"/>
  <c r="Q32" i="9"/>
  <c r="P32" i="9"/>
  <c r="L32" i="9"/>
  <c r="AA32" i="9" s="1"/>
  <c r="BO31" i="9"/>
  <c r="BN31" i="9"/>
  <c r="BM31" i="9"/>
  <c r="R31" i="9"/>
  <c r="Q31" i="9"/>
  <c r="P31" i="9"/>
  <c r="L31" i="9"/>
  <c r="BO30" i="9"/>
  <c r="BN30" i="9"/>
  <c r="BM30" i="9"/>
  <c r="R30" i="9"/>
  <c r="Q30" i="9"/>
  <c r="P30" i="9"/>
  <c r="L30" i="9"/>
  <c r="AA30" i="9" s="1"/>
  <c r="BO29" i="9"/>
  <c r="BN29" i="9"/>
  <c r="BM29" i="9"/>
  <c r="AA29" i="9"/>
  <c r="R29" i="9"/>
  <c r="Q29" i="9"/>
  <c r="P29" i="9"/>
  <c r="L29" i="9"/>
  <c r="Z29" i="9" s="1"/>
  <c r="BO28" i="9"/>
  <c r="BN28" i="9"/>
  <c r="BM28" i="9"/>
  <c r="R28" i="9"/>
  <c r="Q28" i="9"/>
  <c r="P28" i="9"/>
  <c r="L28" i="9"/>
  <c r="AA28" i="9" s="1"/>
  <c r="BO27" i="9"/>
  <c r="BN27" i="9"/>
  <c r="BM27" i="9"/>
  <c r="R27" i="9"/>
  <c r="Q27" i="9"/>
  <c r="P27" i="9"/>
  <c r="L27" i="9"/>
  <c r="AA27" i="9" s="1"/>
  <c r="BO26" i="9"/>
  <c r="BN26" i="9"/>
  <c r="BM26" i="9"/>
  <c r="R26" i="9"/>
  <c r="Q26" i="9"/>
  <c r="P26" i="9"/>
  <c r="L26" i="9"/>
  <c r="AA26" i="9" s="1"/>
  <c r="BO25" i="9"/>
  <c r="BN25" i="9"/>
  <c r="BM25" i="9"/>
  <c r="R25" i="9"/>
  <c r="Q25" i="9"/>
  <c r="P25" i="9"/>
  <c r="L25" i="9"/>
  <c r="AA25" i="9" s="1"/>
  <c r="BO24" i="9"/>
  <c r="BN24" i="9"/>
  <c r="BM24" i="9"/>
  <c r="R24" i="9"/>
  <c r="Q24" i="9"/>
  <c r="P24" i="9"/>
  <c r="L24" i="9"/>
  <c r="BO23" i="9"/>
  <c r="BN23" i="9"/>
  <c r="BM23" i="9"/>
  <c r="R23" i="9"/>
  <c r="Q23" i="9"/>
  <c r="P23" i="9"/>
  <c r="L23" i="9"/>
  <c r="AA23" i="9" s="1"/>
  <c r="BO22" i="9"/>
  <c r="BN22" i="9"/>
  <c r="BM22" i="9"/>
  <c r="R22" i="9"/>
  <c r="Q22" i="9"/>
  <c r="P22" i="9"/>
  <c r="L22" i="9"/>
  <c r="AA22" i="9" s="1"/>
  <c r="BO21" i="9"/>
  <c r="BN21" i="9"/>
  <c r="BM21" i="9"/>
  <c r="R21" i="9"/>
  <c r="Q21" i="9"/>
  <c r="P21" i="9"/>
  <c r="L21" i="9"/>
  <c r="BO20" i="9"/>
  <c r="BN20" i="9"/>
  <c r="BM20" i="9"/>
  <c r="R20" i="9"/>
  <c r="Q20" i="9"/>
  <c r="P20" i="9"/>
  <c r="L20" i="9"/>
  <c r="AA20" i="9" s="1"/>
  <c r="BO19" i="9"/>
  <c r="BN19" i="9"/>
  <c r="BM19" i="9"/>
  <c r="R19" i="9"/>
  <c r="Q19" i="9"/>
  <c r="P19" i="9"/>
  <c r="L19" i="9"/>
  <c r="Z19" i="9" s="1"/>
  <c r="BO18" i="9"/>
  <c r="BN18" i="9"/>
  <c r="BM18" i="9"/>
  <c r="Q18" i="9"/>
  <c r="P18" i="9"/>
  <c r="L18" i="9"/>
  <c r="Z18" i="9" s="1"/>
  <c r="BO17" i="9"/>
  <c r="BN17" i="9"/>
  <c r="BM17" i="9"/>
  <c r="Q17" i="9"/>
  <c r="P17" i="9"/>
  <c r="L17" i="9"/>
  <c r="Z17" i="9" s="1"/>
  <c r="BO16" i="9"/>
  <c r="BN16" i="9"/>
  <c r="BM16" i="9"/>
  <c r="Q16" i="9"/>
  <c r="P16" i="9"/>
  <c r="L16" i="9"/>
  <c r="BO15" i="9"/>
  <c r="BN15" i="9"/>
  <c r="BM15" i="9"/>
  <c r="AA15" i="9"/>
  <c r="Z15" i="9"/>
  <c r="Q15" i="9"/>
  <c r="P15" i="9"/>
  <c r="L15" i="9"/>
  <c r="E15" i="9"/>
  <c r="E16" i="9" s="1"/>
  <c r="E17" i="9" s="1"/>
  <c r="A15" i="9"/>
  <c r="A16" i="9" s="1"/>
  <c r="V13" i="9"/>
  <c r="S10" i="9"/>
  <c r="H14" i="9" s="1"/>
  <c r="H15" i="9" s="1"/>
  <c r="R10" i="9"/>
  <c r="Q10" i="9"/>
  <c r="E1" i="9"/>
  <c r="D1" i="9"/>
  <c r="C1" i="9"/>
  <c r="A14" i="9" s="1"/>
  <c r="S48" i="8"/>
  <c r="K48" i="8"/>
  <c r="BH47" i="8"/>
  <c r="BG47" i="8"/>
  <c r="BE47" i="8"/>
  <c r="AX47" i="8"/>
  <c r="AR47" i="8"/>
  <c r="AJ47" i="8"/>
  <c r="AG47" i="8"/>
  <c r="K47" i="8"/>
  <c r="E47" i="8"/>
  <c r="E48" i="8" s="1"/>
  <c r="BL46" i="8"/>
  <c r="BJ47" i="8" s="1"/>
  <c r="BK46" i="8"/>
  <c r="BJ46" i="8"/>
  <c r="BI46" i="8"/>
  <c r="BH46" i="8"/>
  <c r="BG46" i="8"/>
  <c r="BF46" i="8"/>
  <c r="BE46" i="8"/>
  <c r="BD46" i="8"/>
  <c r="BD47" i="8" s="1"/>
  <c r="BC46" i="8"/>
  <c r="BB46" i="8"/>
  <c r="BB47" i="8" s="1"/>
  <c r="BA46" i="8"/>
  <c r="AZ46" i="8"/>
  <c r="AY46" i="8"/>
  <c r="AY47" i="8" s="1"/>
  <c r="AX46" i="8"/>
  <c r="AW46" i="8"/>
  <c r="AV46" i="8"/>
  <c r="AV47" i="8" s="1"/>
  <c r="AU46" i="8"/>
  <c r="AU47" i="8" s="1"/>
  <c r="AT46" i="8"/>
  <c r="AS46" i="8"/>
  <c r="AS47" i="8" s="1"/>
  <c r="AR46" i="8"/>
  <c r="AQ46" i="8"/>
  <c r="AO47" i="8" s="1"/>
  <c r="AP46" i="8"/>
  <c r="AP47" i="8" s="1"/>
  <c r="AO46" i="8"/>
  <c r="AN46" i="8"/>
  <c r="AL47" i="8" s="1"/>
  <c r="AM46" i="8"/>
  <c r="AM47" i="8" s="1"/>
  <c r="AL46" i="8"/>
  <c r="AK46" i="8"/>
  <c r="AJ46" i="8"/>
  <c r="AI46" i="8"/>
  <c r="AI47" i="8" s="1"/>
  <c r="AH46" i="8"/>
  <c r="AG46" i="8"/>
  <c r="AF46" i="8"/>
  <c r="AF47" i="8" s="1"/>
  <c r="AE46" i="8"/>
  <c r="AD46" i="8"/>
  <c r="AD47" i="8" s="1"/>
  <c r="AC46" i="8"/>
  <c r="AA46" i="8"/>
  <c r="Z46" i="8"/>
  <c r="N46" i="8"/>
  <c r="M46" i="8"/>
  <c r="G46" i="8"/>
  <c r="F46" i="8"/>
  <c r="BO45" i="8"/>
  <c r="BN45" i="8"/>
  <c r="BM45" i="8"/>
  <c r="Q45" i="8"/>
  <c r="P45" i="8"/>
  <c r="BO44" i="8"/>
  <c r="BN44" i="8"/>
  <c r="BM44" i="8"/>
  <c r="Q44" i="8"/>
  <c r="P44" i="8"/>
  <c r="BO43" i="8"/>
  <c r="BN43" i="8"/>
  <c r="BM43" i="8"/>
  <c r="Q43" i="8"/>
  <c r="P43" i="8"/>
  <c r="BO42" i="8"/>
  <c r="BN42" i="8"/>
  <c r="BM42" i="8"/>
  <c r="Q42" i="8"/>
  <c r="P42" i="8"/>
  <c r="BO41" i="8"/>
  <c r="BN41" i="8"/>
  <c r="BM41" i="8"/>
  <c r="Q41" i="8"/>
  <c r="P41" i="8"/>
  <c r="BO40" i="8"/>
  <c r="BN40" i="8"/>
  <c r="BM40" i="8"/>
  <c r="Q40" i="8"/>
  <c r="P40" i="8"/>
  <c r="BO39" i="8"/>
  <c r="BN39" i="8"/>
  <c r="BM39" i="8"/>
  <c r="Q39" i="8"/>
  <c r="P39" i="8"/>
  <c r="BO38" i="8"/>
  <c r="BN38" i="8"/>
  <c r="BM38" i="8"/>
  <c r="Q38" i="8"/>
  <c r="P38" i="8"/>
  <c r="BO37" i="8"/>
  <c r="BN37" i="8"/>
  <c r="BM37" i="8"/>
  <c r="Q37" i="8"/>
  <c r="P37" i="8"/>
  <c r="BO36" i="8"/>
  <c r="BN36" i="8"/>
  <c r="BM36" i="8"/>
  <c r="Q36" i="8"/>
  <c r="P36" i="8"/>
  <c r="BO35" i="8"/>
  <c r="BN35" i="8"/>
  <c r="BM35" i="8"/>
  <c r="Q35" i="8"/>
  <c r="P35" i="8"/>
  <c r="BO34" i="8"/>
  <c r="BN34" i="8"/>
  <c r="BM34" i="8"/>
  <c r="Q34" i="8"/>
  <c r="P34" i="8"/>
  <c r="BO33" i="8"/>
  <c r="BN33" i="8"/>
  <c r="BM33" i="8"/>
  <c r="Q33" i="8"/>
  <c r="P33" i="8"/>
  <c r="BO32" i="8"/>
  <c r="BN32" i="8"/>
  <c r="BM32" i="8"/>
  <c r="Q32" i="8"/>
  <c r="P32" i="8"/>
  <c r="BO31" i="8"/>
  <c r="BN31" i="8"/>
  <c r="BM31" i="8"/>
  <c r="Q31" i="8"/>
  <c r="P31" i="8"/>
  <c r="BO30" i="8"/>
  <c r="BN30" i="8"/>
  <c r="BM30" i="8"/>
  <c r="Q30" i="8"/>
  <c r="P30" i="8"/>
  <c r="BO29" i="8"/>
  <c r="BN29" i="8"/>
  <c r="BM29" i="8"/>
  <c r="Q29" i="8"/>
  <c r="P29" i="8"/>
  <c r="BO28" i="8"/>
  <c r="BN28" i="8"/>
  <c r="BM28" i="8"/>
  <c r="Q28" i="8"/>
  <c r="P28" i="8"/>
  <c r="BO27" i="8"/>
  <c r="BN27" i="8"/>
  <c r="BM27" i="8"/>
  <c r="Q27" i="8"/>
  <c r="P27" i="8"/>
  <c r="BO26" i="8"/>
  <c r="BN26" i="8"/>
  <c r="BM26" i="8"/>
  <c r="Q26" i="8"/>
  <c r="P26" i="8"/>
  <c r="BO25" i="8"/>
  <c r="BN25" i="8"/>
  <c r="BM25" i="8"/>
  <c r="Q25" i="8"/>
  <c r="P25" i="8"/>
  <c r="BO24" i="8"/>
  <c r="BN24" i="8"/>
  <c r="BM24" i="8"/>
  <c r="Q24" i="8"/>
  <c r="P24" i="8"/>
  <c r="BO23" i="8"/>
  <c r="BN23" i="8"/>
  <c r="BM23" i="8"/>
  <c r="Q23" i="8"/>
  <c r="P23" i="8"/>
  <c r="BO22" i="8"/>
  <c r="BN22" i="8"/>
  <c r="BM22" i="8"/>
  <c r="Q22" i="8"/>
  <c r="P22" i="8"/>
  <c r="BO21" i="8"/>
  <c r="BN21" i="8"/>
  <c r="BM21" i="8"/>
  <c r="Q21" i="8"/>
  <c r="P21" i="8"/>
  <c r="BO20" i="8"/>
  <c r="BN20" i="8"/>
  <c r="BM20" i="8"/>
  <c r="Q20" i="8"/>
  <c r="P20" i="8"/>
  <c r="BO19" i="8"/>
  <c r="BN19" i="8"/>
  <c r="BM19" i="8"/>
  <c r="Q19" i="8"/>
  <c r="P19" i="8"/>
  <c r="BO18" i="8"/>
  <c r="BN18" i="8"/>
  <c r="BM18" i="8"/>
  <c r="Q18" i="8"/>
  <c r="P18" i="8"/>
  <c r="BO17" i="8"/>
  <c r="BN17" i="8"/>
  <c r="BM17" i="8"/>
  <c r="Q17" i="8"/>
  <c r="P17" i="8"/>
  <c r="BO16" i="8"/>
  <c r="BN16" i="8"/>
  <c r="BM16" i="8"/>
  <c r="Q16" i="8"/>
  <c r="P16" i="8"/>
  <c r="BO15" i="8"/>
  <c r="BO46" i="8" s="1"/>
  <c r="BO49" i="8" s="1"/>
  <c r="BN15" i="8"/>
  <c r="BM15" i="8"/>
  <c r="Q15" i="8"/>
  <c r="P15" i="8"/>
  <c r="L15" i="8"/>
  <c r="L16" i="8" s="1"/>
  <c r="E15" i="8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E41" i="8" s="1"/>
  <c r="E42" i="8" s="1"/>
  <c r="E43" i="8" s="1"/>
  <c r="E44" i="8" s="1"/>
  <c r="E45" i="8" s="1"/>
  <c r="A15" i="8"/>
  <c r="V13" i="8"/>
  <c r="S10" i="8"/>
  <c r="R10" i="8"/>
  <c r="Q10" i="8"/>
  <c r="E1" i="8"/>
  <c r="D1" i="8"/>
  <c r="C1" i="8"/>
  <c r="A14" i="8" s="1"/>
  <c r="K48" i="7"/>
  <c r="BH47" i="7"/>
  <c r="AV47" i="7"/>
  <c r="AD47" i="7"/>
  <c r="AC47" i="7"/>
  <c r="K47" i="7"/>
  <c r="S48" i="7" s="1"/>
  <c r="E47" i="7"/>
  <c r="E48" i="7" s="1"/>
  <c r="BL46" i="7"/>
  <c r="BK47" i="7" s="1"/>
  <c r="BK46" i="7"/>
  <c r="BJ46" i="7"/>
  <c r="BI46" i="7"/>
  <c r="BH46" i="7"/>
  <c r="BG46" i="7"/>
  <c r="BG47" i="7" s="1"/>
  <c r="BF46" i="7"/>
  <c r="BE47" i="7" s="1"/>
  <c r="BE46" i="7"/>
  <c r="BD46" i="7"/>
  <c r="BD47" i="7" s="1"/>
  <c r="BC46" i="7"/>
  <c r="BB46" i="7"/>
  <c r="BB47" i="7" s="1"/>
  <c r="BA46" i="7"/>
  <c r="BA47" i="7" s="1"/>
  <c r="AZ46" i="7"/>
  <c r="AY47" i="7" s="1"/>
  <c r="AY46" i="7"/>
  <c r="AX46" i="7"/>
  <c r="AX47" i="7" s="1"/>
  <c r="AW46" i="7"/>
  <c r="AV46" i="7"/>
  <c r="AU46" i="7"/>
  <c r="AU47" i="7" s="1"/>
  <c r="AT46" i="7"/>
  <c r="AR47" i="7" s="1"/>
  <c r="AS46" i="7"/>
  <c r="AR46" i="7"/>
  <c r="AQ46" i="7"/>
  <c r="AP46" i="7"/>
  <c r="AP47" i="7" s="1"/>
  <c r="AO46" i="7"/>
  <c r="AO47" i="7" s="1"/>
  <c r="AN46" i="7"/>
  <c r="AM47" i="7" s="1"/>
  <c r="AM46" i="7"/>
  <c r="AL46" i="7"/>
  <c r="AK46" i="7"/>
  <c r="AJ46" i="7"/>
  <c r="AJ47" i="7" s="1"/>
  <c r="AI46" i="7"/>
  <c r="AI47" i="7" s="1"/>
  <c r="AH46" i="7"/>
  <c r="AG47" i="7" s="1"/>
  <c r="AG46" i="7"/>
  <c r="AF46" i="7"/>
  <c r="AE46" i="7"/>
  <c r="AD46" i="7"/>
  <c r="AC46" i="7"/>
  <c r="AA46" i="7"/>
  <c r="N46" i="7"/>
  <c r="M46" i="7"/>
  <c r="G46" i="7"/>
  <c r="F46" i="7"/>
  <c r="BO45" i="7"/>
  <c r="BN45" i="7"/>
  <c r="BM45" i="7"/>
  <c r="Q45" i="7"/>
  <c r="P45" i="7"/>
  <c r="BO44" i="7"/>
  <c r="BN44" i="7"/>
  <c r="BM44" i="7"/>
  <c r="Q44" i="7"/>
  <c r="P44" i="7"/>
  <c r="BO43" i="7"/>
  <c r="BN43" i="7"/>
  <c r="BM43" i="7"/>
  <c r="Q43" i="7"/>
  <c r="P43" i="7"/>
  <c r="BO42" i="7"/>
  <c r="BN42" i="7"/>
  <c r="BM42" i="7"/>
  <c r="Q42" i="7"/>
  <c r="P42" i="7"/>
  <c r="BO41" i="7"/>
  <c r="BN41" i="7"/>
  <c r="BM41" i="7"/>
  <c r="Q41" i="7"/>
  <c r="P41" i="7"/>
  <c r="BO40" i="7"/>
  <c r="BN40" i="7"/>
  <c r="BM40" i="7"/>
  <c r="Q40" i="7"/>
  <c r="P40" i="7"/>
  <c r="BO39" i="7"/>
  <c r="BN39" i="7"/>
  <c r="BM39" i="7"/>
  <c r="Q39" i="7"/>
  <c r="P39" i="7"/>
  <c r="BO38" i="7"/>
  <c r="BN38" i="7"/>
  <c r="BM38" i="7"/>
  <c r="Q38" i="7"/>
  <c r="P38" i="7"/>
  <c r="BO37" i="7"/>
  <c r="BN37" i="7"/>
  <c r="BM37" i="7"/>
  <c r="Q37" i="7"/>
  <c r="P37" i="7"/>
  <c r="BO36" i="7"/>
  <c r="BN36" i="7"/>
  <c r="BM36" i="7"/>
  <c r="Q36" i="7"/>
  <c r="P36" i="7"/>
  <c r="BO35" i="7"/>
  <c r="BN35" i="7"/>
  <c r="BM35" i="7"/>
  <c r="Q35" i="7"/>
  <c r="P35" i="7"/>
  <c r="BO34" i="7"/>
  <c r="BN34" i="7"/>
  <c r="BM34" i="7"/>
  <c r="Q34" i="7"/>
  <c r="P34" i="7"/>
  <c r="BO33" i="7"/>
  <c r="BN33" i="7"/>
  <c r="BM33" i="7"/>
  <c r="Q33" i="7"/>
  <c r="P33" i="7"/>
  <c r="BO32" i="7"/>
  <c r="BN32" i="7"/>
  <c r="BM32" i="7"/>
  <c r="Q32" i="7"/>
  <c r="P32" i="7"/>
  <c r="BO31" i="7"/>
  <c r="BN31" i="7"/>
  <c r="BM31" i="7"/>
  <c r="Q31" i="7"/>
  <c r="P31" i="7"/>
  <c r="BO30" i="7"/>
  <c r="BN30" i="7"/>
  <c r="BM30" i="7"/>
  <c r="Q30" i="7"/>
  <c r="P30" i="7"/>
  <c r="BO29" i="7"/>
  <c r="BN29" i="7"/>
  <c r="BM29" i="7"/>
  <c r="Q29" i="7"/>
  <c r="P29" i="7"/>
  <c r="BO28" i="7"/>
  <c r="BN28" i="7"/>
  <c r="BM28" i="7"/>
  <c r="Q28" i="7"/>
  <c r="P28" i="7"/>
  <c r="BO27" i="7"/>
  <c r="BN27" i="7"/>
  <c r="BM27" i="7"/>
  <c r="Q27" i="7"/>
  <c r="P27" i="7"/>
  <c r="BO26" i="7"/>
  <c r="BN26" i="7"/>
  <c r="BM26" i="7"/>
  <c r="Q26" i="7"/>
  <c r="P26" i="7"/>
  <c r="BO25" i="7"/>
  <c r="BN25" i="7"/>
  <c r="BM25" i="7"/>
  <c r="Q25" i="7"/>
  <c r="P25" i="7"/>
  <c r="BO24" i="7"/>
  <c r="BN24" i="7"/>
  <c r="BM24" i="7"/>
  <c r="Q24" i="7"/>
  <c r="P24" i="7"/>
  <c r="BO23" i="7"/>
  <c r="BN23" i="7"/>
  <c r="BM23" i="7"/>
  <c r="Q23" i="7"/>
  <c r="P23" i="7"/>
  <c r="BO22" i="7"/>
  <c r="BN22" i="7"/>
  <c r="BM22" i="7"/>
  <c r="Q22" i="7"/>
  <c r="P22" i="7"/>
  <c r="BO21" i="7"/>
  <c r="BN21" i="7"/>
  <c r="BM21" i="7"/>
  <c r="Q21" i="7"/>
  <c r="P21" i="7"/>
  <c r="BO20" i="7"/>
  <c r="BN20" i="7"/>
  <c r="BM20" i="7"/>
  <c r="Q20" i="7"/>
  <c r="P20" i="7"/>
  <c r="E20" i="7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BO19" i="7"/>
  <c r="BN19" i="7"/>
  <c r="BM19" i="7"/>
  <c r="Q19" i="7"/>
  <c r="P19" i="7"/>
  <c r="BO18" i="7"/>
  <c r="BN18" i="7"/>
  <c r="BM18" i="7"/>
  <c r="Q18" i="7"/>
  <c r="P18" i="7"/>
  <c r="BO17" i="7"/>
  <c r="BN17" i="7"/>
  <c r="BM17" i="7"/>
  <c r="Q17" i="7"/>
  <c r="P17" i="7"/>
  <c r="BO16" i="7"/>
  <c r="BN16" i="7"/>
  <c r="BM16" i="7"/>
  <c r="Q16" i="7"/>
  <c r="P16" i="7"/>
  <c r="L16" i="7"/>
  <c r="E16" i="7"/>
  <c r="E17" i="7" s="1"/>
  <c r="E18" i="7" s="1"/>
  <c r="E19" i="7" s="1"/>
  <c r="BO15" i="7"/>
  <c r="BN15" i="7"/>
  <c r="BM15" i="7"/>
  <c r="AA15" i="7"/>
  <c r="Z15" i="7"/>
  <c r="R15" i="7"/>
  <c r="Q15" i="7"/>
  <c r="P15" i="7"/>
  <c r="L15" i="7"/>
  <c r="E15" i="7"/>
  <c r="S15" i="7" s="1"/>
  <c r="A15" i="7"/>
  <c r="V13" i="7"/>
  <c r="S10" i="7"/>
  <c r="R10" i="7"/>
  <c r="Q10" i="7"/>
  <c r="H14" i="7" s="1"/>
  <c r="H15" i="7" s="1"/>
  <c r="E1" i="7"/>
  <c r="D1" i="7"/>
  <c r="A14" i="7" s="1"/>
  <c r="C1" i="7"/>
  <c r="BG47" i="6"/>
  <c r="BD47" i="6"/>
  <c r="AO47" i="6"/>
  <c r="AL47" i="6"/>
  <c r="AI47" i="6"/>
  <c r="K47" i="6"/>
  <c r="K48" i="6" s="1"/>
  <c r="E47" i="6"/>
  <c r="S48" i="6" s="1"/>
  <c r="BL46" i="6"/>
  <c r="BJ47" i="6" s="1"/>
  <c r="BK46" i="6"/>
  <c r="BJ46" i="6"/>
  <c r="BI46" i="6"/>
  <c r="BH46" i="6"/>
  <c r="BH47" i="6" s="1"/>
  <c r="BG46" i="6"/>
  <c r="BF46" i="6"/>
  <c r="BE47" i="6" s="1"/>
  <c r="BE46" i="6"/>
  <c r="BD46" i="6"/>
  <c r="BC46" i="6"/>
  <c r="BB46" i="6"/>
  <c r="BB47" i="6" s="1"/>
  <c r="BA46" i="6"/>
  <c r="BA47" i="6" s="1"/>
  <c r="AZ46" i="6"/>
  <c r="AY46" i="6"/>
  <c r="AX46" i="6"/>
  <c r="AW46" i="6"/>
  <c r="AV46" i="6"/>
  <c r="AV47" i="6" s="1"/>
  <c r="AU46" i="6"/>
  <c r="AU47" i="6" s="1"/>
  <c r="AT46" i="6"/>
  <c r="AS46" i="6"/>
  <c r="AS47" i="6" s="1"/>
  <c r="AR46" i="6"/>
  <c r="AR47" i="6" s="1"/>
  <c r="AQ46" i="6"/>
  <c r="AP46" i="6"/>
  <c r="AP47" i="6" s="1"/>
  <c r="AO46" i="6"/>
  <c r="AN46" i="6"/>
  <c r="AM46" i="6"/>
  <c r="AL46" i="6"/>
  <c r="AK46" i="6"/>
  <c r="AJ46" i="6"/>
  <c r="AJ47" i="6" s="1"/>
  <c r="AI46" i="6"/>
  <c r="AH46" i="6"/>
  <c r="AG46" i="6"/>
  <c r="AG47" i="6" s="1"/>
  <c r="AF46" i="6"/>
  <c r="AF47" i="6" s="1"/>
  <c r="AE46" i="6"/>
  <c r="AD46" i="6"/>
  <c r="AD47" i="6" s="1"/>
  <c r="AC46" i="6"/>
  <c r="AC47" i="6" s="1"/>
  <c r="AA46" i="6"/>
  <c r="N46" i="6"/>
  <c r="Z46" i="6" s="1"/>
  <c r="M46" i="6"/>
  <c r="G46" i="6"/>
  <c r="F46" i="6"/>
  <c r="BO45" i="6"/>
  <c r="BN45" i="6"/>
  <c r="BM45" i="6"/>
  <c r="AA45" i="6"/>
  <c r="Z45" i="6"/>
  <c r="S45" i="6"/>
  <c r="R45" i="6"/>
  <c r="Q45" i="6"/>
  <c r="P45" i="6"/>
  <c r="L45" i="6"/>
  <c r="E45" i="6"/>
  <c r="BO44" i="6"/>
  <c r="BN44" i="6"/>
  <c r="BM44" i="6"/>
  <c r="Q44" i="6"/>
  <c r="P44" i="6"/>
  <c r="BO43" i="6"/>
  <c r="BN43" i="6"/>
  <c r="BM43" i="6"/>
  <c r="Q43" i="6"/>
  <c r="P43" i="6"/>
  <c r="BO42" i="6"/>
  <c r="BN42" i="6"/>
  <c r="BM42" i="6"/>
  <c r="Q42" i="6"/>
  <c r="P42" i="6"/>
  <c r="BO41" i="6"/>
  <c r="BN41" i="6"/>
  <c r="BM41" i="6"/>
  <c r="Q41" i="6"/>
  <c r="P41" i="6"/>
  <c r="BO40" i="6"/>
  <c r="BN40" i="6"/>
  <c r="BM40" i="6"/>
  <c r="Q40" i="6"/>
  <c r="P40" i="6"/>
  <c r="BO39" i="6"/>
  <c r="BN39" i="6"/>
  <c r="BM39" i="6"/>
  <c r="Q39" i="6"/>
  <c r="P39" i="6"/>
  <c r="BO38" i="6"/>
  <c r="BN38" i="6"/>
  <c r="BM38" i="6"/>
  <c r="Q38" i="6"/>
  <c r="P38" i="6"/>
  <c r="BO37" i="6"/>
  <c r="BN37" i="6"/>
  <c r="BM37" i="6"/>
  <c r="Q37" i="6"/>
  <c r="P37" i="6"/>
  <c r="BO36" i="6"/>
  <c r="BN36" i="6"/>
  <c r="BM36" i="6"/>
  <c r="Q36" i="6"/>
  <c r="P36" i="6"/>
  <c r="BO35" i="6"/>
  <c r="BN35" i="6"/>
  <c r="BM35" i="6"/>
  <c r="Q35" i="6"/>
  <c r="P35" i="6"/>
  <c r="BO34" i="6"/>
  <c r="BN34" i="6"/>
  <c r="BM34" i="6"/>
  <c r="Q34" i="6"/>
  <c r="P34" i="6"/>
  <c r="BO33" i="6"/>
  <c r="BN33" i="6"/>
  <c r="BM33" i="6"/>
  <c r="Q33" i="6"/>
  <c r="P33" i="6"/>
  <c r="BO32" i="6"/>
  <c r="BN32" i="6"/>
  <c r="BM32" i="6"/>
  <c r="Q32" i="6"/>
  <c r="P32" i="6"/>
  <c r="BO31" i="6"/>
  <c r="BN31" i="6"/>
  <c r="BM31" i="6"/>
  <c r="Q31" i="6"/>
  <c r="P31" i="6"/>
  <c r="BO30" i="6"/>
  <c r="BN30" i="6"/>
  <c r="BM30" i="6"/>
  <c r="Q30" i="6"/>
  <c r="P30" i="6"/>
  <c r="BO29" i="6"/>
  <c r="BN29" i="6"/>
  <c r="BM29" i="6"/>
  <c r="Q29" i="6"/>
  <c r="P29" i="6"/>
  <c r="BO28" i="6"/>
  <c r="BN28" i="6"/>
  <c r="BM28" i="6"/>
  <c r="Q28" i="6"/>
  <c r="P28" i="6"/>
  <c r="BO27" i="6"/>
  <c r="BN27" i="6"/>
  <c r="BM27" i="6"/>
  <c r="Q27" i="6"/>
  <c r="P27" i="6"/>
  <c r="BO26" i="6"/>
  <c r="BN26" i="6"/>
  <c r="BM26" i="6"/>
  <c r="Q26" i="6"/>
  <c r="P26" i="6"/>
  <c r="BO25" i="6"/>
  <c r="BN25" i="6"/>
  <c r="BM25" i="6"/>
  <c r="Q25" i="6"/>
  <c r="P25" i="6"/>
  <c r="BO24" i="6"/>
  <c r="BN24" i="6"/>
  <c r="BM24" i="6"/>
  <c r="Q24" i="6"/>
  <c r="P24" i="6"/>
  <c r="BO23" i="6"/>
  <c r="BN23" i="6"/>
  <c r="BM23" i="6"/>
  <c r="Q23" i="6"/>
  <c r="P23" i="6"/>
  <c r="BO22" i="6"/>
  <c r="BN22" i="6"/>
  <c r="BM22" i="6"/>
  <c r="Q22" i="6"/>
  <c r="P22" i="6"/>
  <c r="BO21" i="6"/>
  <c r="BN21" i="6"/>
  <c r="BM21" i="6"/>
  <c r="Q21" i="6"/>
  <c r="P21" i="6"/>
  <c r="BO20" i="6"/>
  <c r="BN20" i="6"/>
  <c r="BM20" i="6"/>
  <c r="Q20" i="6"/>
  <c r="P20" i="6"/>
  <c r="E20" i="6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BO19" i="6"/>
  <c r="BN19" i="6"/>
  <c r="BM19" i="6"/>
  <c r="Q19" i="6"/>
  <c r="P19" i="6"/>
  <c r="BO18" i="6"/>
  <c r="BN18" i="6"/>
  <c r="BM18" i="6"/>
  <c r="Q18" i="6"/>
  <c r="P18" i="6"/>
  <c r="BO17" i="6"/>
  <c r="BN17" i="6"/>
  <c r="BM17" i="6"/>
  <c r="Q17" i="6"/>
  <c r="P17" i="6"/>
  <c r="BO16" i="6"/>
  <c r="BN16" i="6"/>
  <c r="BM16" i="6"/>
  <c r="Q16" i="6"/>
  <c r="P16" i="6"/>
  <c r="E16" i="6"/>
  <c r="E17" i="6" s="1"/>
  <c r="E18" i="6" s="1"/>
  <c r="E19" i="6" s="1"/>
  <c r="BO15" i="6"/>
  <c r="BO46" i="6" s="1"/>
  <c r="BO49" i="6" s="1"/>
  <c r="BN15" i="6"/>
  <c r="BN46" i="6" s="1"/>
  <c r="BM15" i="6"/>
  <c r="BM46" i="6" s="1"/>
  <c r="BM49" i="6" s="1"/>
  <c r="Q15" i="6"/>
  <c r="P15" i="6"/>
  <c r="L15" i="6"/>
  <c r="AA15" i="6" s="1"/>
  <c r="E15" i="6"/>
  <c r="S10" i="6"/>
  <c r="R10" i="6"/>
  <c r="Q10" i="6"/>
  <c r="H14" i="6" s="1"/>
  <c r="H15" i="6" s="1"/>
  <c r="V8" i="6"/>
  <c r="V13" i="6" s="1"/>
  <c r="E1" i="6"/>
  <c r="D1" i="6"/>
  <c r="C1" i="6"/>
  <c r="E48" i="5"/>
  <c r="BK47" i="5"/>
  <c r="BJ47" i="5"/>
  <c r="AY47" i="5"/>
  <c r="AX47" i="5"/>
  <c r="AF47" i="5"/>
  <c r="K47" i="5"/>
  <c r="E47" i="5"/>
  <c r="BL46" i="5"/>
  <c r="BK46" i="5"/>
  <c r="BJ46" i="5"/>
  <c r="BI46" i="5"/>
  <c r="BH46" i="5"/>
  <c r="BH47" i="5" s="1"/>
  <c r="BG46" i="5"/>
  <c r="BG47" i="5" s="1"/>
  <c r="BF46" i="5"/>
  <c r="BE46" i="5"/>
  <c r="BE47" i="5" s="1"/>
  <c r="BD46" i="5"/>
  <c r="BD47" i="5" s="1"/>
  <c r="BC46" i="5"/>
  <c r="BB47" i="5" s="1"/>
  <c r="BB46" i="5"/>
  <c r="BA46" i="5"/>
  <c r="BA47" i="5" s="1"/>
  <c r="AZ46" i="5"/>
  <c r="AY46" i="5"/>
  <c r="AX46" i="5"/>
  <c r="AW46" i="5"/>
  <c r="AV46" i="5"/>
  <c r="AV47" i="5" s="1"/>
  <c r="AU46" i="5"/>
  <c r="AU47" i="5" s="1"/>
  <c r="AT46" i="5"/>
  <c r="AS46" i="5"/>
  <c r="AS47" i="5" s="1"/>
  <c r="AR46" i="5"/>
  <c r="AR47" i="5" s="1"/>
  <c r="AQ46" i="5"/>
  <c r="AP47" i="5" s="1"/>
  <c r="AP46" i="5"/>
  <c r="AO46" i="5"/>
  <c r="AO47" i="5" s="1"/>
  <c r="AN46" i="5"/>
  <c r="AM46" i="5"/>
  <c r="AM47" i="5" s="1"/>
  <c r="AL46" i="5"/>
  <c r="AL47" i="5" s="1"/>
  <c r="AK46" i="5"/>
  <c r="AJ46" i="5"/>
  <c r="AJ47" i="5" s="1"/>
  <c r="AI46" i="5"/>
  <c r="AI47" i="5" s="1"/>
  <c r="AH46" i="5"/>
  <c r="AG46" i="5"/>
  <c r="AG47" i="5" s="1"/>
  <c r="AF46" i="5"/>
  <c r="AE46" i="5"/>
  <c r="AD47" i="5" s="1"/>
  <c r="AD46" i="5"/>
  <c r="AC46" i="5"/>
  <c r="N46" i="5"/>
  <c r="M46" i="5"/>
  <c r="AA46" i="5" s="1"/>
  <c r="G46" i="5"/>
  <c r="F46" i="5"/>
  <c r="BO45" i="5"/>
  <c r="BN45" i="5"/>
  <c r="BM45" i="5"/>
  <c r="Q45" i="5"/>
  <c r="P45" i="5"/>
  <c r="BO44" i="5"/>
  <c r="BN44" i="5"/>
  <c r="BM44" i="5"/>
  <c r="Q44" i="5"/>
  <c r="P44" i="5"/>
  <c r="BO43" i="5"/>
  <c r="BN43" i="5"/>
  <c r="BM43" i="5"/>
  <c r="Q43" i="5"/>
  <c r="P43" i="5"/>
  <c r="BO42" i="5"/>
  <c r="BN42" i="5"/>
  <c r="BM42" i="5"/>
  <c r="Q42" i="5"/>
  <c r="P42" i="5"/>
  <c r="BO41" i="5"/>
  <c r="BN41" i="5"/>
  <c r="BM41" i="5"/>
  <c r="Q41" i="5"/>
  <c r="P41" i="5"/>
  <c r="BO40" i="5"/>
  <c r="BN40" i="5"/>
  <c r="BM40" i="5"/>
  <c r="Q40" i="5"/>
  <c r="P40" i="5"/>
  <c r="BO39" i="5"/>
  <c r="BN39" i="5"/>
  <c r="BM39" i="5"/>
  <c r="Q39" i="5"/>
  <c r="P39" i="5"/>
  <c r="BO38" i="5"/>
  <c r="BN38" i="5"/>
  <c r="BM38" i="5"/>
  <c r="Q38" i="5"/>
  <c r="P38" i="5"/>
  <c r="BO37" i="5"/>
  <c r="BN37" i="5"/>
  <c r="BM37" i="5"/>
  <c r="Q37" i="5"/>
  <c r="P37" i="5"/>
  <c r="BO36" i="5"/>
  <c r="BN36" i="5"/>
  <c r="BM36" i="5"/>
  <c r="Q36" i="5"/>
  <c r="P36" i="5"/>
  <c r="BO35" i="5"/>
  <c r="BN35" i="5"/>
  <c r="BM35" i="5"/>
  <c r="Q35" i="5"/>
  <c r="P35" i="5"/>
  <c r="BO34" i="5"/>
  <c r="BN34" i="5"/>
  <c r="BM34" i="5"/>
  <c r="Q34" i="5"/>
  <c r="P34" i="5"/>
  <c r="BO33" i="5"/>
  <c r="BN33" i="5"/>
  <c r="BM33" i="5"/>
  <c r="Q33" i="5"/>
  <c r="P33" i="5"/>
  <c r="BO32" i="5"/>
  <c r="BN32" i="5"/>
  <c r="BM32" i="5"/>
  <c r="Q32" i="5"/>
  <c r="P32" i="5"/>
  <c r="BO31" i="5"/>
  <c r="BN31" i="5"/>
  <c r="BM31" i="5"/>
  <c r="Q31" i="5"/>
  <c r="P31" i="5"/>
  <c r="BO30" i="5"/>
  <c r="BN30" i="5"/>
  <c r="BM30" i="5"/>
  <c r="Q30" i="5"/>
  <c r="P30" i="5"/>
  <c r="BO29" i="5"/>
  <c r="BN29" i="5"/>
  <c r="BM29" i="5"/>
  <c r="Q29" i="5"/>
  <c r="P29" i="5"/>
  <c r="BO28" i="5"/>
  <c r="BN28" i="5"/>
  <c r="BM28" i="5"/>
  <c r="Q28" i="5"/>
  <c r="P28" i="5"/>
  <c r="BO27" i="5"/>
  <c r="BN27" i="5"/>
  <c r="BM27" i="5"/>
  <c r="Q27" i="5"/>
  <c r="P27" i="5"/>
  <c r="BO26" i="5"/>
  <c r="BN26" i="5"/>
  <c r="BM26" i="5"/>
  <c r="Q26" i="5"/>
  <c r="P26" i="5"/>
  <c r="BO25" i="5"/>
  <c r="BN25" i="5"/>
  <c r="BM25" i="5"/>
  <c r="Q25" i="5"/>
  <c r="P25" i="5"/>
  <c r="BO24" i="5"/>
  <c r="BN24" i="5"/>
  <c r="BM24" i="5"/>
  <c r="Q24" i="5"/>
  <c r="P24" i="5"/>
  <c r="BO23" i="5"/>
  <c r="BN23" i="5"/>
  <c r="BM23" i="5"/>
  <c r="Q23" i="5"/>
  <c r="P23" i="5"/>
  <c r="BO22" i="5"/>
  <c r="BN22" i="5"/>
  <c r="BM22" i="5"/>
  <c r="Q22" i="5"/>
  <c r="P22" i="5"/>
  <c r="BO21" i="5"/>
  <c r="BN21" i="5"/>
  <c r="BM21" i="5"/>
  <c r="Q21" i="5"/>
  <c r="P21" i="5"/>
  <c r="BO20" i="5"/>
  <c r="BN20" i="5"/>
  <c r="BM20" i="5"/>
  <c r="Q20" i="5"/>
  <c r="P20" i="5"/>
  <c r="BO19" i="5"/>
  <c r="BN19" i="5"/>
  <c r="BM19" i="5"/>
  <c r="Q19" i="5"/>
  <c r="P19" i="5"/>
  <c r="BO18" i="5"/>
  <c r="BN18" i="5"/>
  <c r="BM18" i="5"/>
  <c r="Q18" i="5"/>
  <c r="P18" i="5"/>
  <c r="BO17" i="5"/>
  <c r="BN17" i="5"/>
  <c r="BM17" i="5"/>
  <c r="Q17" i="5"/>
  <c r="P17" i="5"/>
  <c r="BO16" i="5"/>
  <c r="BN16" i="5"/>
  <c r="BM16" i="5"/>
  <c r="Q16" i="5"/>
  <c r="P16" i="5"/>
  <c r="L16" i="5"/>
  <c r="E16" i="5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E45" i="5" s="1"/>
  <c r="BO15" i="5"/>
  <c r="BN15" i="5"/>
  <c r="BM15" i="5"/>
  <c r="Z15" i="5"/>
  <c r="S15" i="5"/>
  <c r="Q15" i="5"/>
  <c r="P15" i="5"/>
  <c r="L15" i="5"/>
  <c r="R15" i="5" s="1"/>
  <c r="E15" i="5"/>
  <c r="H14" i="5"/>
  <c r="H15" i="5" s="1"/>
  <c r="V13" i="5"/>
  <c r="S10" i="5"/>
  <c r="R10" i="5"/>
  <c r="Q10" i="5"/>
  <c r="E1" i="5"/>
  <c r="D1" i="5"/>
  <c r="C1" i="5"/>
  <c r="A14" i="5" s="1"/>
  <c r="A15" i="5" s="1"/>
  <c r="S48" i="4"/>
  <c r="E48" i="4"/>
  <c r="BD47" i="4"/>
  <c r="BB47" i="4"/>
  <c r="AV47" i="4"/>
  <c r="AL47" i="4"/>
  <c r="AJ47" i="4"/>
  <c r="AD47" i="4"/>
  <c r="AC47" i="4"/>
  <c r="K47" i="4"/>
  <c r="R48" i="4" s="1"/>
  <c r="E47" i="4"/>
  <c r="BL46" i="4"/>
  <c r="BJ47" i="4" s="1"/>
  <c r="BK46" i="4"/>
  <c r="BK47" i="4" s="1"/>
  <c r="BJ46" i="4"/>
  <c r="BI46" i="4"/>
  <c r="BH46" i="4"/>
  <c r="BH47" i="4" s="1"/>
  <c r="BG46" i="4"/>
  <c r="BG47" i="4" s="1"/>
  <c r="BF46" i="4"/>
  <c r="BE46" i="4"/>
  <c r="BE47" i="4" s="1"/>
  <c r="BD46" i="4"/>
  <c r="BC46" i="4"/>
  <c r="BB46" i="4"/>
  <c r="BA46" i="4"/>
  <c r="BA47" i="4" s="1"/>
  <c r="AZ46" i="4"/>
  <c r="AX47" i="4" s="1"/>
  <c r="AY46" i="4"/>
  <c r="AY47" i="4" s="1"/>
  <c r="AX46" i="4"/>
  <c r="AW46" i="4"/>
  <c r="AV46" i="4"/>
  <c r="AU46" i="4"/>
  <c r="AU47" i="4" s="1"/>
  <c r="AT46" i="4"/>
  <c r="AS46" i="4"/>
  <c r="AS47" i="4" s="1"/>
  <c r="AR46" i="4"/>
  <c r="AR47" i="4" s="1"/>
  <c r="AQ46" i="4"/>
  <c r="AP46" i="4"/>
  <c r="AP47" i="4" s="1"/>
  <c r="AO46" i="4"/>
  <c r="AO47" i="4" s="1"/>
  <c r="AN46" i="4"/>
  <c r="AM46" i="4"/>
  <c r="AM47" i="4" s="1"/>
  <c r="AL46" i="4"/>
  <c r="AK46" i="4"/>
  <c r="AJ46" i="4"/>
  <c r="AI46" i="4"/>
  <c r="AI47" i="4" s="1"/>
  <c r="AH46" i="4"/>
  <c r="AF47" i="4" s="1"/>
  <c r="AG46" i="4"/>
  <c r="AG47" i="4" s="1"/>
  <c r="AF46" i="4"/>
  <c r="AE46" i="4"/>
  <c r="AD46" i="4"/>
  <c r="AC46" i="4"/>
  <c r="AA46" i="4"/>
  <c r="Z46" i="4"/>
  <c r="N46" i="4"/>
  <c r="M46" i="4"/>
  <c r="G46" i="4"/>
  <c r="F46" i="4"/>
  <c r="BO45" i="4"/>
  <c r="BN45" i="4"/>
  <c r="BM45" i="4"/>
  <c r="R45" i="4"/>
  <c r="Q45" i="4"/>
  <c r="P45" i="4"/>
  <c r="L45" i="4"/>
  <c r="AA45" i="4" s="1"/>
  <c r="E45" i="4"/>
  <c r="BO44" i="4"/>
  <c r="BN44" i="4"/>
  <c r="BM44" i="4"/>
  <c r="Q44" i="4"/>
  <c r="P44" i="4"/>
  <c r="BO43" i="4"/>
  <c r="BN43" i="4"/>
  <c r="BM43" i="4"/>
  <c r="Q43" i="4"/>
  <c r="P43" i="4"/>
  <c r="BO42" i="4"/>
  <c r="BN42" i="4"/>
  <c r="BM42" i="4"/>
  <c r="Q42" i="4"/>
  <c r="P42" i="4"/>
  <c r="BO41" i="4"/>
  <c r="BN41" i="4"/>
  <c r="BM41" i="4"/>
  <c r="Q41" i="4"/>
  <c r="P41" i="4"/>
  <c r="BO40" i="4"/>
  <c r="BN40" i="4"/>
  <c r="BM40" i="4"/>
  <c r="Q40" i="4"/>
  <c r="P40" i="4"/>
  <c r="BO39" i="4"/>
  <c r="BN39" i="4"/>
  <c r="BM39" i="4"/>
  <c r="Q39" i="4"/>
  <c r="P39" i="4"/>
  <c r="BO38" i="4"/>
  <c r="BN38" i="4"/>
  <c r="BM38" i="4"/>
  <c r="Q38" i="4"/>
  <c r="P38" i="4"/>
  <c r="BO37" i="4"/>
  <c r="BN37" i="4"/>
  <c r="BM37" i="4"/>
  <c r="Q37" i="4"/>
  <c r="P37" i="4"/>
  <c r="BO36" i="4"/>
  <c r="BN36" i="4"/>
  <c r="BM36" i="4"/>
  <c r="Q36" i="4"/>
  <c r="P36" i="4"/>
  <c r="BO35" i="4"/>
  <c r="BN35" i="4"/>
  <c r="BM35" i="4"/>
  <c r="Q35" i="4"/>
  <c r="P35" i="4"/>
  <c r="BO34" i="4"/>
  <c r="BN34" i="4"/>
  <c r="BM34" i="4"/>
  <c r="Q34" i="4"/>
  <c r="P34" i="4"/>
  <c r="BO33" i="4"/>
  <c r="BN33" i="4"/>
  <c r="BM33" i="4"/>
  <c r="Q33" i="4"/>
  <c r="P33" i="4"/>
  <c r="BO32" i="4"/>
  <c r="BN32" i="4"/>
  <c r="BM32" i="4"/>
  <c r="Q32" i="4"/>
  <c r="P32" i="4"/>
  <c r="BO31" i="4"/>
  <c r="BN31" i="4"/>
  <c r="BM31" i="4"/>
  <c r="Q31" i="4"/>
  <c r="P31" i="4"/>
  <c r="BO30" i="4"/>
  <c r="BN30" i="4"/>
  <c r="BM30" i="4"/>
  <c r="Q30" i="4"/>
  <c r="P30" i="4"/>
  <c r="BO29" i="4"/>
  <c r="BN29" i="4"/>
  <c r="BM29" i="4"/>
  <c r="Q29" i="4"/>
  <c r="P29" i="4"/>
  <c r="BO28" i="4"/>
  <c r="BN28" i="4"/>
  <c r="BM28" i="4"/>
  <c r="Q28" i="4"/>
  <c r="P28" i="4"/>
  <c r="BO27" i="4"/>
  <c r="BN27" i="4"/>
  <c r="BM27" i="4"/>
  <c r="Q27" i="4"/>
  <c r="P27" i="4"/>
  <c r="BO26" i="4"/>
  <c r="BN26" i="4"/>
  <c r="BM26" i="4"/>
  <c r="Q26" i="4"/>
  <c r="P26" i="4"/>
  <c r="BO25" i="4"/>
  <c r="BN25" i="4"/>
  <c r="BM25" i="4"/>
  <c r="Q25" i="4"/>
  <c r="P25" i="4"/>
  <c r="BO24" i="4"/>
  <c r="BN24" i="4"/>
  <c r="BM24" i="4"/>
  <c r="Q24" i="4"/>
  <c r="P24" i="4"/>
  <c r="BO23" i="4"/>
  <c r="BN23" i="4"/>
  <c r="BM23" i="4"/>
  <c r="Q23" i="4"/>
  <c r="P23" i="4"/>
  <c r="BO22" i="4"/>
  <c r="BN22" i="4"/>
  <c r="BM22" i="4"/>
  <c r="Q22" i="4"/>
  <c r="P22" i="4"/>
  <c r="BO21" i="4"/>
  <c r="BN21" i="4"/>
  <c r="BM21" i="4"/>
  <c r="Q21" i="4"/>
  <c r="P21" i="4"/>
  <c r="BO20" i="4"/>
  <c r="BN20" i="4"/>
  <c r="BM20" i="4"/>
  <c r="Q20" i="4"/>
  <c r="P20" i="4"/>
  <c r="BO19" i="4"/>
  <c r="BN19" i="4"/>
  <c r="BM19" i="4"/>
  <c r="Q19" i="4"/>
  <c r="P19" i="4"/>
  <c r="BO18" i="4"/>
  <c r="BN18" i="4"/>
  <c r="BM18" i="4"/>
  <c r="Q18" i="4"/>
  <c r="P18" i="4"/>
  <c r="BO17" i="4"/>
  <c r="BN17" i="4"/>
  <c r="BM17" i="4"/>
  <c r="Q17" i="4"/>
  <c r="P17" i="4"/>
  <c r="BO16" i="4"/>
  <c r="BN16" i="4"/>
  <c r="BM16" i="4"/>
  <c r="Q16" i="4"/>
  <c r="P16" i="4"/>
  <c r="L16" i="4"/>
  <c r="AA16" i="4" s="1"/>
  <c r="BO15" i="4"/>
  <c r="BO46" i="4" s="1"/>
  <c r="BO49" i="4" s="1"/>
  <c r="BN15" i="4"/>
  <c r="BN46" i="4" s="1"/>
  <c r="BM15" i="4"/>
  <c r="BM46" i="4" s="1"/>
  <c r="BM47" i="4" s="1"/>
  <c r="AA15" i="4"/>
  <c r="Z15" i="4"/>
  <c r="Q15" i="4"/>
  <c r="P15" i="4"/>
  <c r="L15" i="4"/>
  <c r="H15" i="4"/>
  <c r="E15" i="4"/>
  <c r="S15" i="4" s="1"/>
  <c r="H14" i="4"/>
  <c r="V13" i="4"/>
  <c r="S10" i="4"/>
  <c r="R10" i="4"/>
  <c r="Q10" i="4"/>
  <c r="V8" i="4"/>
  <c r="E1" i="4"/>
  <c r="D1" i="4"/>
  <c r="A14" i="4" s="1"/>
  <c r="A15" i="4" s="1"/>
  <c r="C1" i="4"/>
  <c r="BK47" i="3"/>
  <c r="BJ47" i="3"/>
  <c r="BG47" i="3"/>
  <c r="BA47" i="3"/>
  <c r="AJ47" i="3"/>
  <c r="AI47" i="3"/>
  <c r="K47" i="3"/>
  <c r="E47" i="3"/>
  <c r="E48" i="3" s="1"/>
  <c r="BL46" i="3"/>
  <c r="BK46" i="3"/>
  <c r="BJ46" i="3"/>
  <c r="BI46" i="3"/>
  <c r="BH46" i="3"/>
  <c r="BH47" i="3" s="1"/>
  <c r="BG46" i="3"/>
  <c r="BF46" i="3"/>
  <c r="BE46" i="3"/>
  <c r="BE47" i="3" s="1"/>
  <c r="BD46" i="3"/>
  <c r="BD47" i="3" s="1"/>
  <c r="BC46" i="3"/>
  <c r="BB46" i="3"/>
  <c r="BB47" i="3" s="1"/>
  <c r="BA46" i="3"/>
  <c r="AZ46" i="3"/>
  <c r="AY46" i="3"/>
  <c r="AY47" i="3" s="1"/>
  <c r="AX46" i="3"/>
  <c r="AX47" i="3" s="1"/>
  <c r="AW46" i="3"/>
  <c r="AV46" i="3"/>
  <c r="AV47" i="3" s="1"/>
  <c r="AU46" i="3"/>
  <c r="AU47" i="3" s="1"/>
  <c r="AT46" i="3"/>
  <c r="AS46" i="3"/>
  <c r="AS47" i="3" s="1"/>
  <c r="AR46" i="3"/>
  <c r="AR47" i="3" s="1"/>
  <c r="AQ46" i="3"/>
  <c r="AP46" i="3"/>
  <c r="AP47" i="3" s="1"/>
  <c r="AO46" i="3"/>
  <c r="AO47" i="3" s="1"/>
  <c r="AN46" i="3"/>
  <c r="AM46" i="3"/>
  <c r="AM47" i="3" s="1"/>
  <c r="AL46" i="3"/>
  <c r="AL47" i="3" s="1"/>
  <c r="AK46" i="3"/>
  <c r="AJ46" i="3"/>
  <c r="AI46" i="3"/>
  <c r="AH46" i="3"/>
  <c r="AG46" i="3"/>
  <c r="AG47" i="3" s="1"/>
  <c r="AF46" i="3"/>
  <c r="AF47" i="3" s="1"/>
  <c r="AE46" i="3"/>
  <c r="AD46" i="3"/>
  <c r="AD47" i="3" s="1"/>
  <c r="AC46" i="3"/>
  <c r="AC47" i="3" s="1"/>
  <c r="N46" i="3"/>
  <c r="AA46" i="3" s="1"/>
  <c r="M46" i="3"/>
  <c r="G46" i="3"/>
  <c r="F46" i="3"/>
  <c r="BO45" i="3"/>
  <c r="BN45" i="3"/>
  <c r="BM45" i="3"/>
  <c r="Q45" i="3"/>
  <c r="P45" i="3"/>
  <c r="BO44" i="3"/>
  <c r="BN44" i="3"/>
  <c r="BM44" i="3"/>
  <c r="Q44" i="3"/>
  <c r="P44" i="3"/>
  <c r="BO43" i="3"/>
  <c r="BN43" i="3"/>
  <c r="BM43" i="3"/>
  <c r="Q43" i="3"/>
  <c r="P43" i="3"/>
  <c r="BO42" i="3"/>
  <c r="BN42" i="3"/>
  <c r="BM42" i="3"/>
  <c r="Q42" i="3"/>
  <c r="P42" i="3"/>
  <c r="BO41" i="3"/>
  <c r="BN41" i="3"/>
  <c r="BM41" i="3"/>
  <c r="Q41" i="3"/>
  <c r="P41" i="3"/>
  <c r="BO40" i="3"/>
  <c r="BN40" i="3"/>
  <c r="BM40" i="3"/>
  <c r="Q40" i="3"/>
  <c r="P40" i="3"/>
  <c r="BO39" i="3"/>
  <c r="BN39" i="3"/>
  <c r="BM39" i="3"/>
  <c r="Q39" i="3"/>
  <c r="P39" i="3"/>
  <c r="BO38" i="3"/>
  <c r="BN38" i="3"/>
  <c r="BM38" i="3"/>
  <c r="Q38" i="3"/>
  <c r="P38" i="3"/>
  <c r="BO37" i="3"/>
  <c r="BN37" i="3"/>
  <c r="BM37" i="3"/>
  <c r="Q37" i="3"/>
  <c r="P37" i="3"/>
  <c r="BO36" i="3"/>
  <c r="BN36" i="3"/>
  <c r="BM36" i="3"/>
  <c r="Q36" i="3"/>
  <c r="P36" i="3"/>
  <c r="BO35" i="3"/>
  <c r="BN35" i="3"/>
  <c r="BM35" i="3"/>
  <c r="Q35" i="3"/>
  <c r="P35" i="3"/>
  <c r="BO34" i="3"/>
  <c r="BN34" i="3"/>
  <c r="BM34" i="3"/>
  <c r="Q34" i="3"/>
  <c r="P34" i="3"/>
  <c r="BO33" i="3"/>
  <c r="BN33" i="3"/>
  <c r="BM33" i="3"/>
  <c r="Q33" i="3"/>
  <c r="P33" i="3"/>
  <c r="BO32" i="3"/>
  <c r="BN32" i="3"/>
  <c r="BM32" i="3"/>
  <c r="Q32" i="3"/>
  <c r="P32" i="3"/>
  <c r="BO31" i="3"/>
  <c r="BN31" i="3"/>
  <c r="BM31" i="3"/>
  <c r="Q31" i="3"/>
  <c r="P31" i="3"/>
  <c r="BO30" i="3"/>
  <c r="BN30" i="3"/>
  <c r="BM30" i="3"/>
  <c r="Q30" i="3"/>
  <c r="P30" i="3"/>
  <c r="BO29" i="3"/>
  <c r="BN29" i="3"/>
  <c r="BM29" i="3"/>
  <c r="Q29" i="3"/>
  <c r="P29" i="3"/>
  <c r="BO28" i="3"/>
  <c r="BN28" i="3"/>
  <c r="BM28" i="3"/>
  <c r="Q28" i="3"/>
  <c r="P28" i="3"/>
  <c r="BO27" i="3"/>
  <c r="BN27" i="3"/>
  <c r="BM27" i="3"/>
  <c r="Q27" i="3"/>
  <c r="P27" i="3"/>
  <c r="BO26" i="3"/>
  <c r="BN26" i="3"/>
  <c r="BM26" i="3"/>
  <c r="Q26" i="3"/>
  <c r="P26" i="3"/>
  <c r="BO25" i="3"/>
  <c r="BN25" i="3"/>
  <c r="BM25" i="3"/>
  <c r="Q25" i="3"/>
  <c r="P25" i="3"/>
  <c r="BO24" i="3"/>
  <c r="BN24" i="3"/>
  <c r="BM24" i="3"/>
  <c r="Q24" i="3"/>
  <c r="P24" i="3"/>
  <c r="BO23" i="3"/>
  <c r="BN23" i="3"/>
  <c r="BM23" i="3"/>
  <c r="Q23" i="3"/>
  <c r="P23" i="3"/>
  <c r="BO22" i="3"/>
  <c r="BN22" i="3"/>
  <c r="BM22" i="3"/>
  <c r="Q22" i="3"/>
  <c r="P22" i="3"/>
  <c r="BO21" i="3"/>
  <c r="BN21" i="3"/>
  <c r="BM21" i="3"/>
  <c r="Q21" i="3"/>
  <c r="P21" i="3"/>
  <c r="BO20" i="3"/>
  <c r="BN20" i="3"/>
  <c r="BM20" i="3"/>
  <c r="Q20" i="3"/>
  <c r="P20" i="3"/>
  <c r="BO19" i="3"/>
  <c r="BN19" i="3"/>
  <c r="BM19" i="3"/>
  <c r="Q19" i="3"/>
  <c r="P19" i="3"/>
  <c r="BO18" i="3"/>
  <c r="BN18" i="3"/>
  <c r="BM18" i="3"/>
  <c r="Q18" i="3"/>
  <c r="P18" i="3"/>
  <c r="BO17" i="3"/>
  <c r="BN17" i="3"/>
  <c r="BM17" i="3"/>
  <c r="Q17" i="3"/>
  <c r="P17" i="3"/>
  <c r="BO16" i="3"/>
  <c r="BN16" i="3"/>
  <c r="BM16" i="3"/>
  <c r="Q16" i="3"/>
  <c r="P16" i="3"/>
  <c r="BO15" i="3"/>
  <c r="BN15" i="3"/>
  <c r="BM15" i="3"/>
  <c r="Q15" i="3"/>
  <c r="P15" i="3"/>
  <c r="L15" i="3"/>
  <c r="AA15" i="3" s="1"/>
  <c r="E15" i="3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S10" i="3"/>
  <c r="R10" i="3"/>
  <c r="Q10" i="3"/>
  <c r="E1" i="3"/>
  <c r="D1" i="3"/>
  <c r="C1" i="3"/>
  <c r="E48" i="2"/>
  <c r="BK47" i="2"/>
  <c r="BJ47" i="2"/>
  <c r="AY47" i="2"/>
  <c r="AX47" i="2"/>
  <c r="AO47" i="2"/>
  <c r="AF47" i="2"/>
  <c r="K47" i="2"/>
  <c r="K48" i="2" s="1"/>
  <c r="E47" i="2"/>
  <c r="BL46" i="2"/>
  <c r="BK46" i="2"/>
  <c r="BJ46" i="2"/>
  <c r="BI46" i="2"/>
  <c r="BH47" i="2" s="1"/>
  <c r="BH46" i="2"/>
  <c r="BG46" i="2"/>
  <c r="BG47" i="2" s="1"/>
  <c r="BF46" i="2"/>
  <c r="BE46" i="2"/>
  <c r="BE47" i="2" s="1"/>
  <c r="BD46" i="2"/>
  <c r="BD47" i="2" s="1"/>
  <c r="BC46" i="2"/>
  <c r="BB46" i="2"/>
  <c r="BA46" i="2"/>
  <c r="BA47" i="2" s="1"/>
  <c r="AZ46" i="2"/>
  <c r="AY46" i="2"/>
  <c r="AX46" i="2"/>
  <c r="AW46" i="2"/>
  <c r="AV46" i="2"/>
  <c r="AU46" i="2"/>
  <c r="AU47" i="2" s="1"/>
  <c r="AT46" i="2"/>
  <c r="AS46" i="2"/>
  <c r="AS47" i="2" s="1"/>
  <c r="AR46" i="2"/>
  <c r="AR47" i="2" s="1"/>
  <c r="AQ46" i="2"/>
  <c r="AP46" i="2"/>
  <c r="AP47" i="2" s="1"/>
  <c r="AO46" i="2"/>
  <c r="AN46" i="2"/>
  <c r="AM46" i="2"/>
  <c r="AM47" i="2" s="1"/>
  <c r="AL46" i="2"/>
  <c r="AL47" i="2" s="1"/>
  <c r="AK46" i="2"/>
  <c r="AJ46" i="2"/>
  <c r="AI46" i="2"/>
  <c r="AI47" i="2" s="1"/>
  <c r="AH46" i="2"/>
  <c r="AG46" i="2"/>
  <c r="AG47" i="2" s="1"/>
  <c r="AF46" i="2"/>
  <c r="AE46" i="2"/>
  <c r="AC47" i="2" s="1"/>
  <c r="AD46" i="2"/>
  <c r="AD47" i="2" s="1"/>
  <c r="AC46" i="2"/>
  <c r="N46" i="2"/>
  <c r="M46" i="2"/>
  <c r="AA46" i="2" s="1"/>
  <c r="G46" i="2"/>
  <c r="F46" i="2"/>
  <c r="BO45" i="2"/>
  <c r="BN45" i="2"/>
  <c r="BM45" i="2"/>
  <c r="AA45" i="2"/>
  <c r="Z45" i="2"/>
  <c r="R45" i="2"/>
  <c r="Q45" i="2"/>
  <c r="P45" i="2"/>
  <c r="L45" i="2"/>
  <c r="E45" i="2"/>
  <c r="BO44" i="2"/>
  <c r="BN44" i="2"/>
  <c r="BM44" i="2"/>
  <c r="R44" i="2"/>
  <c r="Q44" i="2"/>
  <c r="P44" i="2"/>
  <c r="L44" i="2"/>
  <c r="AA44" i="2" s="1"/>
  <c r="E44" i="2"/>
  <c r="BO43" i="2"/>
  <c r="BN43" i="2"/>
  <c r="BM43" i="2"/>
  <c r="Z43" i="2"/>
  <c r="R43" i="2"/>
  <c r="Q43" i="2"/>
  <c r="P43" i="2"/>
  <c r="L43" i="2"/>
  <c r="BO42" i="2"/>
  <c r="BN42" i="2"/>
  <c r="BM42" i="2"/>
  <c r="Q42" i="2"/>
  <c r="P42" i="2"/>
  <c r="BO41" i="2"/>
  <c r="BN41" i="2"/>
  <c r="BM41" i="2"/>
  <c r="Q41" i="2"/>
  <c r="P41" i="2"/>
  <c r="BO40" i="2"/>
  <c r="BN40" i="2"/>
  <c r="BM40" i="2"/>
  <c r="Q40" i="2"/>
  <c r="P40" i="2"/>
  <c r="BO39" i="2"/>
  <c r="BN39" i="2"/>
  <c r="BM39" i="2"/>
  <c r="Q39" i="2"/>
  <c r="P39" i="2"/>
  <c r="BO38" i="2"/>
  <c r="BN38" i="2"/>
  <c r="BM38" i="2"/>
  <c r="Q38" i="2"/>
  <c r="P38" i="2"/>
  <c r="BO37" i="2"/>
  <c r="BN37" i="2"/>
  <c r="BM37" i="2"/>
  <c r="Q37" i="2"/>
  <c r="P37" i="2"/>
  <c r="BO36" i="2"/>
  <c r="BN36" i="2"/>
  <c r="BM36" i="2"/>
  <c r="Q36" i="2"/>
  <c r="P36" i="2"/>
  <c r="BO35" i="2"/>
  <c r="BN35" i="2"/>
  <c r="BM35" i="2"/>
  <c r="Q35" i="2"/>
  <c r="P35" i="2"/>
  <c r="BO34" i="2"/>
  <c r="BN34" i="2"/>
  <c r="BM34" i="2"/>
  <c r="Q34" i="2"/>
  <c r="P34" i="2"/>
  <c r="BO33" i="2"/>
  <c r="BN33" i="2"/>
  <c r="BM33" i="2"/>
  <c r="Q33" i="2"/>
  <c r="P33" i="2"/>
  <c r="BO32" i="2"/>
  <c r="BN32" i="2"/>
  <c r="BM32" i="2"/>
  <c r="Q32" i="2"/>
  <c r="P32" i="2"/>
  <c r="BO31" i="2"/>
  <c r="BN31" i="2"/>
  <c r="BM31" i="2"/>
  <c r="Q31" i="2"/>
  <c r="P31" i="2"/>
  <c r="BO30" i="2"/>
  <c r="BN30" i="2"/>
  <c r="BM30" i="2"/>
  <c r="Q30" i="2"/>
  <c r="P30" i="2"/>
  <c r="BO29" i="2"/>
  <c r="BN29" i="2"/>
  <c r="BM29" i="2"/>
  <c r="Q29" i="2"/>
  <c r="P29" i="2"/>
  <c r="BO28" i="2"/>
  <c r="BN28" i="2"/>
  <c r="BM28" i="2"/>
  <c r="Q28" i="2"/>
  <c r="P28" i="2"/>
  <c r="BO27" i="2"/>
  <c r="BN27" i="2"/>
  <c r="BM27" i="2"/>
  <c r="Q27" i="2"/>
  <c r="P27" i="2"/>
  <c r="BO26" i="2"/>
  <c r="BN26" i="2"/>
  <c r="BM26" i="2"/>
  <c r="Q26" i="2"/>
  <c r="P26" i="2"/>
  <c r="BO25" i="2"/>
  <c r="BN25" i="2"/>
  <c r="BM25" i="2"/>
  <c r="Q25" i="2"/>
  <c r="P25" i="2"/>
  <c r="BO24" i="2"/>
  <c r="BN24" i="2"/>
  <c r="BM24" i="2"/>
  <c r="Q24" i="2"/>
  <c r="P24" i="2"/>
  <c r="BO23" i="2"/>
  <c r="BN23" i="2"/>
  <c r="BM23" i="2"/>
  <c r="Q23" i="2"/>
  <c r="P23" i="2"/>
  <c r="BO22" i="2"/>
  <c r="BN22" i="2"/>
  <c r="BM22" i="2"/>
  <c r="Q22" i="2"/>
  <c r="P22" i="2"/>
  <c r="BO21" i="2"/>
  <c r="BN21" i="2"/>
  <c r="BM21" i="2"/>
  <c r="Q21" i="2"/>
  <c r="P21" i="2"/>
  <c r="BO20" i="2"/>
  <c r="BN20" i="2"/>
  <c r="BM20" i="2"/>
  <c r="Q20" i="2"/>
  <c r="P20" i="2"/>
  <c r="BO19" i="2"/>
  <c r="BN19" i="2"/>
  <c r="BM19" i="2"/>
  <c r="Q19" i="2"/>
  <c r="P19" i="2"/>
  <c r="BO18" i="2"/>
  <c r="BN18" i="2"/>
  <c r="BM18" i="2"/>
  <c r="Q18" i="2"/>
  <c r="P18" i="2"/>
  <c r="BO17" i="2"/>
  <c r="BN17" i="2"/>
  <c r="BM17" i="2"/>
  <c r="Q17" i="2"/>
  <c r="P17" i="2"/>
  <c r="L17" i="2"/>
  <c r="AA17" i="2" s="1"/>
  <c r="BO16" i="2"/>
  <c r="BN16" i="2"/>
  <c r="BM16" i="2"/>
  <c r="AA16" i="2"/>
  <c r="Z16" i="2"/>
  <c r="Q16" i="2"/>
  <c r="P16" i="2"/>
  <c r="L16" i="2"/>
  <c r="S16" i="2" s="1"/>
  <c r="E16" i="2"/>
  <c r="E17" i="2" s="1"/>
  <c r="BO15" i="2"/>
  <c r="BO46" i="2" s="1"/>
  <c r="BO49" i="2" s="1"/>
  <c r="BN15" i="2"/>
  <c r="BN46" i="2" s="1"/>
  <c r="BM15" i="2"/>
  <c r="Z15" i="2"/>
  <c r="S15" i="2"/>
  <c r="R15" i="2"/>
  <c r="Q15" i="2"/>
  <c r="P15" i="2"/>
  <c r="L15" i="2"/>
  <c r="AA15" i="2" s="1"/>
  <c r="E15" i="2"/>
  <c r="V13" i="2"/>
  <c r="S10" i="2"/>
  <c r="R10" i="2"/>
  <c r="Q10" i="2"/>
  <c r="H14" i="2" s="1"/>
  <c r="H15" i="2" s="1"/>
  <c r="E1" i="2"/>
  <c r="D1" i="2"/>
  <c r="A14" i="2" s="1"/>
  <c r="A15" i="2" s="1"/>
  <c r="C1" i="2"/>
  <c r="E48" i="1"/>
  <c r="BK47" i="1"/>
  <c r="BG47" i="1"/>
  <c r="BA47" i="1"/>
  <c r="AX47" i="1"/>
  <c r="AU47" i="1"/>
  <c r="AO47" i="1"/>
  <c r="AI47" i="1"/>
  <c r="AF47" i="1"/>
  <c r="AC47" i="1"/>
  <c r="K47" i="1"/>
  <c r="S48" i="1" s="1"/>
  <c r="E47" i="1"/>
  <c r="BL46" i="1"/>
  <c r="BK46" i="1"/>
  <c r="BJ46" i="1"/>
  <c r="BJ47" i="1" s="1"/>
  <c r="BI46" i="1"/>
  <c r="BH46" i="1"/>
  <c r="BH47" i="1" s="1"/>
  <c r="BG46" i="1"/>
  <c r="BF46" i="1"/>
  <c r="BE46" i="1"/>
  <c r="BE47" i="1" s="1"/>
  <c r="BD46" i="1"/>
  <c r="BD47" i="1" s="1"/>
  <c r="BC46" i="1"/>
  <c r="BB46" i="1"/>
  <c r="BB47" i="1" s="1"/>
  <c r="BA46" i="1"/>
  <c r="AZ46" i="1"/>
  <c r="AY46" i="1"/>
  <c r="AY47" i="1" s="1"/>
  <c r="AX46" i="1"/>
  <c r="AW46" i="1"/>
  <c r="AV46" i="1"/>
  <c r="AV47" i="1" s="1"/>
  <c r="AU46" i="1"/>
  <c r="AT46" i="1"/>
  <c r="AS46" i="1"/>
  <c r="AS47" i="1" s="1"/>
  <c r="AR46" i="1"/>
  <c r="AR47" i="1" s="1"/>
  <c r="AQ46" i="1"/>
  <c r="AP46" i="1"/>
  <c r="AP47" i="1" s="1"/>
  <c r="AO46" i="1"/>
  <c r="AN46" i="1"/>
  <c r="AM46" i="1"/>
  <c r="AM47" i="1" s="1"/>
  <c r="AL46" i="1"/>
  <c r="AL47" i="1" s="1"/>
  <c r="AK46" i="1"/>
  <c r="AJ46" i="1"/>
  <c r="AJ47" i="1" s="1"/>
  <c r="AI46" i="1"/>
  <c r="AH46" i="1"/>
  <c r="AG46" i="1"/>
  <c r="AG47" i="1" s="1"/>
  <c r="AF46" i="1"/>
  <c r="AE46" i="1"/>
  <c r="AD46" i="1"/>
  <c r="AD47" i="1" s="1"/>
  <c r="AC46" i="1"/>
  <c r="N46" i="1"/>
  <c r="AA46" i="1" s="1"/>
  <c r="M46" i="1"/>
  <c r="G46" i="1"/>
  <c r="F46" i="1"/>
  <c r="BO45" i="1"/>
  <c r="BN45" i="1"/>
  <c r="BM45" i="1"/>
  <c r="Q45" i="1"/>
  <c r="P45" i="1"/>
  <c r="BO44" i="1"/>
  <c r="BN44" i="1"/>
  <c r="BM44" i="1"/>
  <c r="Q44" i="1"/>
  <c r="P44" i="1"/>
  <c r="BO43" i="1"/>
  <c r="BN43" i="1"/>
  <c r="BM43" i="1"/>
  <c r="Q43" i="1"/>
  <c r="P43" i="1"/>
  <c r="BO42" i="1"/>
  <c r="BN42" i="1"/>
  <c r="BM42" i="1"/>
  <c r="Q42" i="1"/>
  <c r="P42" i="1"/>
  <c r="BO41" i="1"/>
  <c r="BN41" i="1"/>
  <c r="BM41" i="1"/>
  <c r="Q41" i="1"/>
  <c r="P41" i="1"/>
  <c r="BO40" i="1"/>
  <c r="BN40" i="1"/>
  <c r="BM40" i="1"/>
  <c r="Q40" i="1"/>
  <c r="P40" i="1"/>
  <c r="BO39" i="1"/>
  <c r="BN39" i="1"/>
  <c r="BM39" i="1"/>
  <c r="Q39" i="1"/>
  <c r="P39" i="1"/>
  <c r="BO38" i="1"/>
  <c r="BN38" i="1"/>
  <c r="BM38" i="1"/>
  <c r="Q38" i="1"/>
  <c r="P38" i="1"/>
  <c r="BO37" i="1"/>
  <c r="BN37" i="1"/>
  <c r="BM37" i="1"/>
  <c r="Q37" i="1"/>
  <c r="P37" i="1"/>
  <c r="BO36" i="1"/>
  <c r="BN36" i="1"/>
  <c r="BM36" i="1"/>
  <c r="Q36" i="1"/>
  <c r="P36" i="1"/>
  <c r="BO35" i="1"/>
  <c r="BN35" i="1"/>
  <c r="BM35" i="1"/>
  <c r="Q35" i="1"/>
  <c r="P35" i="1"/>
  <c r="BO34" i="1"/>
  <c r="BN34" i="1"/>
  <c r="BM34" i="1"/>
  <c r="Q34" i="1"/>
  <c r="P34" i="1"/>
  <c r="BO33" i="1"/>
  <c r="BN33" i="1"/>
  <c r="BM33" i="1"/>
  <c r="Q33" i="1"/>
  <c r="P33" i="1"/>
  <c r="BO32" i="1"/>
  <c r="BN32" i="1"/>
  <c r="BM32" i="1"/>
  <c r="Q32" i="1"/>
  <c r="P32" i="1"/>
  <c r="BO31" i="1"/>
  <c r="BN31" i="1"/>
  <c r="BM31" i="1"/>
  <c r="Q31" i="1"/>
  <c r="P31" i="1"/>
  <c r="BO30" i="1"/>
  <c r="BN30" i="1"/>
  <c r="BM30" i="1"/>
  <c r="Q30" i="1"/>
  <c r="P30" i="1"/>
  <c r="BO29" i="1"/>
  <c r="BN29" i="1"/>
  <c r="BM29" i="1"/>
  <c r="Q29" i="1"/>
  <c r="P29" i="1"/>
  <c r="BO28" i="1"/>
  <c r="BN28" i="1"/>
  <c r="BM28" i="1"/>
  <c r="Q28" i="1"/>
  <c r="P28" i="1"/>
  <c r="BO27" i="1"/>
  <c r="BN27" i="1"/>
  <c r="BM27" i="1"/>
  <c r="Q27" i="1"/>
  <c r="P27" i="1"/>
  <c r="BO26" i="1"/>
  <c r="BN26" i="1"/>
  <c r="BM26" i="1"/>
  <c r="Q26" i="1"/>
  <c r="P26" i="1"/>
  <c r="BO25" i="1"/>
  <c r="BN25" i="1"/>
  <c r="BM25" i="1"/>
  <c r="Q25" i="1"/>
  <c r="P25" i="1"/>
  <c r="BO24" i="1"/>
  <c r="BN24" i="1"/>
  <c r="BM24" i="1"/>
  <c r="Q24" i="1"/>
  <c r="P24" i="1"/>
  <c r="BO23" i="1"/>
  <c r="BN23" i="1"/>
  <c r="BM23" i="1"/>
  <c r="Q23" i="1"/>
  <c r="P23" i="1"/>
  <c r="BO22" i="1"/>
  <c r="BN22" i="1"/>
  <c r="BM22" i="1"/>
  <c r="Q22" i="1"/>
  <c r="P22" i="1"/>
  <c r="BO21" i="1"/>
  <c r="BN21" i="1"/>
  <c r="BM21" i="1"/>
  <c r="Q21" i="1"/>
  <c r="P21" i="1"/>
  <c r="BO20" i="1"/>
  <c r="BN20" i="1"/>
  <c r="BM20" i="1"/>
  <c r="Q20" i="1"/>
  <c r="P20" i="1"/>
  <c r="BO19" i="1"/>
  <c r="BN19" i="1"/>
  <c r="BM19" i="1"/>
  <c r="Q19" i="1"/>
  <c r="P19" i="1"/>
  <c r="BO18" i="1"/>
  <c r="BN18" i="1"/>
  <c r="BM18" i="1"/>
  <c r="Q18" i="1"/>
  <c r="P18" i="1"/>
  <c r="BO17" i="1"/>
  <c r="BN17" i="1"/>
  <c r="BM17" i="1"/>
  <c r="Q17" i="1"/>
  <c r="P17" i="1"/>
  <c r="BO16" i="1"/>
  <c r="BN16" i="1"/>
  <c r="BM16" i="1"/>
  <c r="Q16" i="1"/>
  <c r="P16" i="1"/>
  <c r="L16" i="1"/>
  <c r="AA16" i="1" s="1"/>
  <c r="E16" i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BO15" i="1"/>
  <c r="BO46" i="1" s="1"/>
  <c r="BO49" i="1" s="1"/>
  <c r="BN15" i="1"/>
  <c r="BN46" i="1" s="1"/>
  <c r="BM15" i="1"/>
  <c r="BM46" i="1" s="1"/>
  <c r="AA15" i="1"/>
  <c r="Z15" i="1"/>
  <c r="R15" i="1"/>
  <c r="Q15" i="1"/>
  <c r="P15" i="1"/>
  <c r="L15" i="1"/>
  <c r="E15" i="1"/>
  <c r="S15" i="1" s="1"/>
  <c r="V13" i="1"/>
  <c r="S10" i="1"/>
  <c r="R10" i="1"/>
  <c r="Q10" i="1"/>
  <c r="H14" i="1" s="1"/>
  <c r="H15" i="1" s="1"/>
  <c r="E1" i="1"/>
  <c r="D1" i="1"/>
  <c r="A14" i="1" s="1"/>
  <c r="A15" i="1" s="1"/>
  <c r="C1" i="1"/>
  <c r="R18" i="9" l="1"/>
  <c r="Z30" i="9"/>
  <c r="Z35" i="9"/>
  <c r="Z27" i="9"/>
  <c r="AA18" i="9"/>
  <c r="R17" i="9"/>
  <c r="AA17" i="9"/>
  <c r="Z20" i="9"/>
  <c r="AA41" i="9"/>
  <c r="Z23" i="9"/>
  <c r="K48" i="9"/>
  <c r="Z22" i="9"/>
  <c r="Z25" i="9"/>
  <c r="Z34" i="9"/>
  <c r="Z37" i="9"/>
  <c r="Z46" i="9"/>
  <c r="Z43" i="9"/>
  <c r="C15" i="1"/>
  <c r="A16" i="1"/>
  <c r="B15" i="1"/>
  <c r="BM47" i="1"/>
  <c r="BM49" i="1"/>
  <c r="A16" i="5"/>
  <c r="C15" i="5"/>
  <c r="B15" i="5"/>
  <c r="BN47" i="1"/>
  <c r="BN49" i="1"/>
  <c r="A16" i="2"/>
  <c r="C15" i="2"/>
  <c r="B15" i="2"/>
  <c r="J15" i="2"/>
  <c r="I15" i="2"/>
  <c r="H16" i="2"/>
  <c r="BN47" i="2"/>
  <c r="BN49" i="2"/>
  <c r="H16" i="1"/>
  <c r="J15" i="1"/>
  <c r="I15" i="1"/>
  <c r="E18" i="2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S43" i="2" s="1"/>
  <c r="R17" i="2"/>
  <c r="AA16" i="7"/>
  <c r="L17" i="7"/>
  <c r="Z16" i="7"/>
  <c r="S16" i="7"/>
  <c r="R16" i="7"/>
  <c r="K48" i="1"/>
  <c r="S17" i="2"/>
  <c r="AA43" i="2"/>
  <c r="AJ47" i="2"/>
  <c r="AV47" i="2"/>
  <c r="BN47" i="4"/>
  <c r="BN49" i="4"/>
  <c r="R48" i="1"/>
  <c r="Z17" i="2"/>
  <c r="L18" i="2"/>
  <c r="R16" i="1"/>
  <c r="Z46" i="1"/>
  <c r="H16" i="6"/>
  <c r="J15" i="6"/>
  <c r="I15" i="6"/>
  <c r="S16" i="1"/>
  <c r="S44" i="2"/>
  <c r="Z16" i="1"/>
  <c r="L17" i="1"/>
  <c r="Z44" i="2"/>
  <c r="S45" i="2"/>
  <c r="A14" i="3"/>
  <c r="A15" i="3" s="1"/>
  <c r="S48" i="3"/>
  <c r="Z46" i="3"/>
  <c r="R48" i="3"/>
  <c r="K48" i="3"/>
  <c r="A16" i="7"/>
  <c r="C15" i="7"/>
  <c r="B15" i="7"/>
  <c r="A16" i="12"/>
  <c r="C15" i="12"/>
  <c r="B15" i="12"/>
  <c r="BM46" i="2"/>
  <c r="H16" i="4"/>
  <c r="J15" i="4"/>
  <c r="I15" i="4"/>
  <c r="R16" i="2"/>
  <c r="BB47" i="2"/>
  <c r="H16" i="5"/>
  <c r="J15" i="5"/>
  <c r="I15" i="5"/>
  <c r="AA16" i="5"/>
  <c r="L17" i="5"/>
  <c r="Z16" i="5"/>
  <c r="S16" i="5"/>
  <c r="R16" i="5"/>
  <c r="H14" i="3"/>
  <c r="H15" i="3" s="1"/>
  <c r="BM46" i="3"/>
  <c r="S48" i="2"/>
  <c r="Z46" i="2"/>
  <c r="R48" i="2"/>
  <c r="BN46" i="3"/>
  <c r="C15" i="4"/>
  <c r="B15" i="4"/>
  <c r="A16" i="4"/>
  <c r="BO46" i="3"/>
  <c r="BO49" i="3" s="1"/>
  <c r="V13" i="3"/>
  <c r="BM49" i="4"/>
  <c r="R15" i="3"/>
  <c r="Z16" i="4"/>
  <c r="L17" i="4"/>
  <c r="S45" i="4"/>
  <c r="AA15" i="5"/>
  <c r="L17" i="8"/>
  <c r="Z16" i="8"/>
  <c r="S16" i="8"/>
  <c r="R16" i="8"/>
  <c r="AA16" i="8"/>
  <c r="S15" i="3"/>
  <c r="Z45" i="4"/>
  <c r="BM46" i="5"/>
  <c r="Z15" i="3"/>
  <c r="L16" i="3"/>
  <c r="BN46" i="5"/>
  <c r="E16" i="4"/>
  <c r="BO46" i="5"/>
  <c r="BO49" i="5" s="1"/>
  <c r="S17" i="9"/>
  <c r="E18" i="9"/>
  <c r="R16" i="9"/>
  <c r="R15" i="4"/>
  <c r="AX47" i="6"/>
  <c r="A14" i="6"/>
  <c r="A15" i="6" s="1"/>
  <c r="BM47" i="6"/>
  <c r="AM47" i="6"/>
  <c r="AY47" i="6"/>
  <c r="BK47" i="6"/>
  <c r="BN47" i="6"/>
  <c r="BN49" i="6"/>
  <c r="H16" i="7"/>
  <c r="J15" i="7"/>
  <c r="I15" i="7"/>
  <c r="A16" i="10"/>
  <c r="C15" i="10"/>
  <c r="B15" i="10"/>
  <c r="K48" i="4"/>
  <c r="S48" i="5"/>
  <c r="Z46" i="5"/>
  <c r="R48" i="5"/>
  <c r="K48" i="5"/>
  <c r="AC47" i="5"/>
  <c r="BM46" i="7"/>
  <c r="BN46" i="7"/>
  <c r="BJ47" i="7"/>
  <c r="A16" i="8"/>
  <c r="C15" i="8"/>
  <c r="B15" i="8"/>
  <c r="J15" i="10"/>
  <c r="I15" i="10"/>
  <c r="H16" i="10"/>
  <c r="BO46" i="7"/>
  <c r="BO49" i="7" s="1"/>
  <c r="R15" i="6"/>
  <c r="AA15" i="8"/>
  <c r="S15" i="8"/>
  <c r="R15" i="8"/>
  <c r="S15" i="6"/>
  <c r="Z15" i="6"/>
  <c r="L16" i="6"/>
  <c r="E48" i="6"/>
  <c r="AF47" i="7"/>
  <c r="AS47" i="7"/>
  <c r="AL47" i="7"/>
  <c r="Z15" i="8"/>
  <c r="BN46" i="8"/>
  <c r="H16" i="9"/>
  <c r="J15" i="9"/>
  <c r="I15" i="9"/>
  <c r="S16" i="9"/>
  <c r="R48" i="6"/>
  <c r="BM46" i="8"/>
  <c r="H14" i="8"/>
  <c r="H15" i="8" s="1"/>
  <c r="S15" i="9"/>
  <c r="AA19" i="9"/>
  <c r="BO46" i="10"/>
  <c r="BO49" i="10" s="1"/>
  <c r="S48" i="11"/>
  <c r="Z46" i="11"/>
  <c r="R48" i="11"/>
  <c r="K48" i="11"/>
  <c r="V13" i="11"/>
  <c r="BK47" i="8"/>
  <c r="AA21" i="9"/>
  <c r="Z21" i="9"/>
  <c r="AA46" i="9"/>
  <c r="E48" i="10"/>
  <c r="S48" i="10"/>
  <c r="J15" i="11"/>
  <c r="I15" i="11"/>
  <c r="H16" i="11"/>
  <c r="R48" i="7"/>
  <c r="AA24" i="9"/>
  <c r="Z24" i="9"/>
  <c r="S48" i="9"/>
  <c r="E48" i="9"/>
  <c r="H16" i="12"/>
  <c r="J15" i="12"/>
  <c r="I15" i="12"/>
  <c r="Z46" i="7"/>
  <c r="AC47" i="8"/>
  <c r="BA47" i="8"/>
  <c r="BM46" i="9"/>
  <c r="Z26" i="9"/>
  <c r="Z44" i="9"/>
  <c r="E16" i="11"/>
  <c r="S15" i="11"/>
  <c r="R15" i="11"/>
  <c r="A17" i="9"/>
  <c r="C16" i="9"/>
  <c r="B16" i="9"/>
  <c r="BN46" i="9"/>
  <c r="AA33" i="9"/>
  <c r="Z33" i="9"/>
  <c r="AA36" i="9"/>
  <c r="Z36" i="9"/>
  <c r="AA16" i="10"/>
  <c r="L17" i="10"/>
  <c r="Z16" i="10"/>
  <c r="R16" i="10"/>
  <c r="B15" i="9"/>
  <c r="BO46" i="9"/>
  <c r="BO49" i="9" s="1"/>
  <c r="AA31" i="9"/>
  <c r="Z38" i="9"/>
  <c r="AA15" i="10"/>
  <c r="S15" i="10"/>
  <c r="C15" i="9"/>
  <c r="R48" i="8"/>
  <c r="S16" i="10"/>
  <c r="AA16" i="9"/>
  <c r="Z16" i="9"/>
  <c r="R15" i="9"/>
  <c r="Z31" i="9"/>
  <c r="Z32" i="9"/>
  <c r="AA38" i="9"/>
  <c r="Z15" i="10"/>
  <c r="A16" i="11"/>
  <c r="C15" i="11"/>
  <c r="B15" i="11"/>
  <c r="BM47" i="12"/>
  <c r="BM49" i="12"/>
  <c r="P30" i="11"/>
  <c r="BN47" i="12"/>
  <c r="BN49" i="12"/>
  <c r="Q30" i="11"/>
  <c r="BB47" i="10"/>
  <c r="BA47" i="10"/>
  <c r="R48" i="10"/>
  <c r="Z28" i="9"/>
  <c r="Z40" i="9"/>
  <c r="S45" i="9"/>
  <c r="Z45" i="9"/>
  <c r="BM46" i="10"/>
  <c r="BN46" i="11"/>
  <c r="BN46" i="10"/>
  <c r="AP47" i="10"/>
  <c r="BO46" i="11"/>
  <c r="BO49" i="11" s="1"/>
  <c r="BM46" i="11"/>
  <c r="AA16" i="12"/>
  <c r="L17" i="12"/>
  <c r="Z16" i="12"/>
  <c r="S16" i="12"/>
  <c r="R16" i="12"/>
  <c r="AA16" i="11"/>
  <c r="L17" i="11"/>
  <c r="Z16" i="11"/>
  <c r="S16" i="11"/>
  <c r="AX47" i="10"/>
  <c r="Z45" i="11"/>
  <c r="K48" i="12"/>
  <c r="R48" i="12"/>
  <c r="Z46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E42" i="12" s="1"/>
  <c r="E43" i="12" s="1"/>
  <c r="E44" i="12" s="1"/>
  <c r="R15" i="12"/>
  <c r="S15" i="12"/>
  <c r="Z15" i="12"/>
  <c r="A17" i="4" l="1"/>
  <c r="C16" i="4"/>
  <c r="B16" i="4"/>
  <c r="BM47" i="9"/>
  <c r="BM49" i="9"/>
  <c r="BN49" i="7"/>
  <c r="BN47" i="7"/>
  <c r="E19" i="9"/>
  <c r="S18" i="9"/>
  <c r="A17" i="12"/>
  <c r="C16" i="12"/>
  <c r="B16" i="12"/>
  <c r="C16" i="2"/>
  <c r="B16" i="2"/>
  <c r="A17" i="2"/>
  <c r="BN49" i="9"/>
  <c r="BN47" i="9"/>
  <c r="H17" i="11"/>
  <c r="J16" i="11"/>
  <c r="I16" i="11"/>
  <c r="BM49" i="7"/>
  <c r="BM47" i="7"/>
  <c r="J16" i="7"/>
  <c r="I16" i="7"/>
  <c r="H17" i="7"/>
  <c r="I16" i="9"/>
  <c r="H17" i="9"/>
  <c r="J16" i="9"/>
  <c r="AA17" i="8"/>
  <c r="L18" i="8"/>
  <c r="Z17" i="8"/>
  <c r="S17" i="8"/>
  <c r="R17" i="8"/>
  <c r="BN49" i="3"/>
  <c r="BN47" i="3"/>
  <c r="BN49" i="8"/>
  <c r="BN47" i="8"/>
  <c r="R16" i="4"/>
  <c r="E17" i="4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S16" i="4"/>
  <c r="J16" i="5"/>
  <c r="I16" i="5"/>
  <c r="H17" i="5"/>
  <c r="A17" i="7"/>
  <c r="C16" i="7"/>
  <c r="B16" i="7"/>
  <c r="J16" i="1"/>
  <c r="I16" i="1"/>
  <c r="H17" i="1"/>
  <c r="BN49" i="5"/>
  <c r="BN47" i="5"/>
  <c r="AA17" i="1"/>
  <c r="L18" i="1"/>
  <c r="Z17" i="1"/>
  <c r="R17" i="1"/>
  <c r="S17" i="1"/>
  <c r="AA17" i="12"/>
  <c r="L18" i="12"/>
  <c r="Z17" i="12"/>
  <c r="S17" i="12"/>
  <c r="R17" i="12"/>
  <c r="A18" i="9"/>
  <c r="C17" i="9"/>
  <c r="B17" i="9"/>
  <c r="BM49" i="11"/>
  <c r="BM47" i="11"/>
  <c r="C16" i="11"/>
  <c r="B16" i="11"/>
  <c r="A17" i="11"/>
  <c r="AA17" i="10"/>
  <c r="S17" i="10"/>
  <c r="R17" i="10"/>
  <c r="L18" i="10"/>
  <c r="Z17" i="10"/>
  <c r="H17" i="10"/>
  <c r="J16" i="10"/>
  <c r="I16" i="10"/>
  <c r="AA16" i="3"/>
  <c r="Z16" i="3"/>
  <c r="S16" i="3"/>
  <c r="R16" i="3"/>
  <c r="L17" i="3"/>
  <c r="AA17" i="4"/>
  <c r="L18" i="4"/>
  <c r="Z17" i="4"/>
  <c r="R17" i="4"/>
  <c r="H17" i="6"/>
  <c r="J16" i="6"/>
  <c r="I16" i="6"/>
  <c r="A17" i="5"/>
  <c r="C16" i="5"/>
  <c r="B16" i="5"/>
  <c r="J16" i="12"/>
  <c r="I16" i="12"/>
  <c r="H17" i="12"/>
  <c r="BM49" i="3"/>
  <c r="BM47" i="3"/>
  <c r="H17" i="2"/>
  <c r="J16" i="2"/>
  <c r="I16" i="2"/>
  <c r="BM47" i="10"/>
  <c r="BM49" i="10"/>
  <c r="AA17" i="5"/>
  <c r="L18" i="5"/>
  <c r="Z17" i="5"/>
  <c r="S17" i="5"/>
  <c r="R17" i="5"/>
  <c r="E17" i="1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R16" i="11"/>
  <c r="BM49" i="5"/>
  <c r="BM47" i="5"/>
  <c r="J15" i="3"/>
  <c r="I15" i="3"/>
  <c r="H16" i="3"/>
  <c r="BN49" i="10"/>
  <c r="BN47" i="10"/>
  <c r="I15" i="8"/>
  <c r="H16" i="8"/>
  <c r="J15" i="8"/>
  <c r="C15" i="6"/>
  <c r="B15" i="6"/>
  <c r="A16" i="6"/>
  <c r="H17" i="4"/>
  <c r="J16" i="4"/>
  <c r="I16" i="4"/>
  <c r="B15" i="3"/>
  <c r="A16" i="3"/>
  <c r="C15" i="3"/>
  <c r="AA18" i="2"/>
  <c r="L19" i="2"/>
  <c r="Z18" i="2"/>
  <c r="S18" i="2"/>
  <c r="R18" i="2"/>
  <c r="BM47" i="8"/>
  <c r="BM49" i="8"/>
  <c r="R16" i="6"/>
  <c r="AA16" i="6"/>
  <c r="L17" i="6"/>
  <c r="Z16" i="6"/>
  <c r="S16" i="6"/>
  <c r="BM49" i="2"/>
  <c r="BM47" i="2"/>
  <c r="AA17" i="7"/>
  <c r="Z17" i="7"/>
  <c r="L18" i="7"/>
  <c r="S17" i="7"/>
  <c r="R17" i="7"/>
  <c r="A17" i="1"/>
  <c r="C16" i="1"/>
  <c r="B16" i="1"/>
  <c r="R17" i="11"/>
  <c r="AA17" i="11"/>
  <c r="L18" i="11"/>
  <c r="Z17" i="11"/>
  <c r="S17" i="11"/>
  <c r="BN49" i="11"/>
  <c r="BN47" i="11"/>
  <c r="A17" i="8"/>
  <c r="C16" i="8"/>
  <c r="B16" i="8"/>
  <c r="B16" i="10"/>
  <c r="C16" i="10"/>
  <c r="A17" i="10"/>
  <c r="H18" i="12" l="1"/>
  <c r="J17" i="12"/>
  <c r="I17" i="12"/>
  <c r="AA17" i="3"/>
  <c r="L18" i="3"/>
  <c r="Z17" i="3"/>
  <c r="S17" i="3"/>
  <c r="R17" i="3"/>
  <c r="AA18" i="12"/>
  <c r="L19" i="12"/>
  <c r="Z18" i="12"/>
  <c r="S18" i="12"/>
  <c r="R18" i="12"/>
  <c r="C17" i="12"/>
  <c r="B17" i="12"/>
  <c r="A18" i="12"/>
  <c r="AA18" i="11"/>
  <c r="S18" i="11"/>
  <c r="R18" i="11"/>
  <c r="L19" i="11"/>
  <c r="Z18" i="11"/>
  <c r="AA18" i="5"/>
  <c r="L19" i="5"/>
  <c r="Z18" i="5"/>
  <c r="S18" i="5"/>
  <c r="R18" i="5"/>
  <c r="B17" i="11"/>
  <c r="A18" i="11"/>
  <c r="C17" i="11"/>
  <c r="S19" i="2"/>
  <c r="R19" i="2"/>
  <c r="Z19" i="2"/>
  <c r="L20" i="2"/>
  <c r="AA19" i="2"/>
  <c r="A18" i="10"/>
  <c r="B17" i="10"/>
  <c r="C17" i="10"/>
  <c r="C16" i="3"/>
  <c r="A17" i="3"/>
  <c r="B16" i="3"/>
  <c r="A18" i="7"/>
  <c r="B17" i="7"/>
  <c r="C17" i="7"/>
  <c r="E20" i="9"/>
  <c r="S19" i="9"/>
  <c r="L19" i="4"/>
  <c r="Z18" i="4"/>
  <c r="S18" i="4"/>
  <c r="R18" i="4"/>
  <c r="AA18" i="4"/>
  <c r="AA17" i="6"/>
  <c r="L18" i="6"/>
  <c r="Z17" i="6"/>
  <c r="S17" i="6"/>
  <c r="R17" i="6"/>
  <c r="J16" i="3"/>
  <c r="I16" i="3"/>
  <c r="H17" i="3"/>
  <c r="B17" i="5"/>
  <c r="A18" i="5"/>
  <c r="C17" i="5"/>
  <c r="H18" i="5"/>
  <c r="J17" i="5"/>
  <c r="I17" i="5"/>
  <c r="H17" i="8"/>
  <c r="J16" i="8"/>
  <c r="I16" i="8"/>
  <c r="AA18" i="8"/>
  <c r="L19" i="8"/>
  <c r="Z18" i="8"/>
  <c r="S18" i="8"/>
  <c r="R18" i="8"/>
  <c r="H18" i="11"/>
  <c r="J17" i="11"/>
  <c r="I17" i="11"/>
  <c r="B17" i="1"/>
  <c r="A18" i="1"/>
  <c r="C17" i="1"/>
  <c r="AA18" i="1"/>
  <c r="L19" i="1"/>
  <c r="Z18" i="1"/>
  <c r="S18" i="1"/>
  <c r="R18" i="1"/>
  <c r="H18" i="9"/>
  <c r="J17" i="9"/>
  <c r="I17" i="9"/>
  <c r="A18" i="2"/>
  <c r="C17" i="2"/>
  <c r="B17" i="2"/>
  <c r="I17" i="4"/>
  <c r="H18" i="4"/>
  <c r="J17" i="4"/>
  <c r="I17" i="6"/>
  <c r="H18" i="6"/>
  <c r="J17" i="6"/>
  <c r="A18" i="8"/>
  <c r="B17" i="8"/>
  <c r="C17" i="8"/>
  <c r="A17" i="6"/>
  <c r="C16" i="6"/>
  <c r="B16" i="6"/>
  <c r="H18" i="2"/>
  <c r="J17" i="2"/>
  <c r="I17" i="2"/>
  <c r="I17" i="10"/>
  <c r="H18" i="10"/>
  <c r="J17" i="10"/>
  <c r="L19" i="7"/>
  <c r="Z18" i="7"/>
  <c r="AA18" i="7"/>
  <c r="S18" i="7"/>
  <c r="R18" i="7"/>
  <c r="S17" i="4"/>
  <c r="C18" i="9"/>
  <c r="A19" i="9"/>
  <c r="B18" i="9"/>
  <c r="L19" i="10"/>
  <c r="Z18" i="10"/>
  <c r="S18" i="10"/>
  <c r="R18" i="10"/>
  <c r="AA18" i="10"/>
  <c r="H18" i="1"/>
  <c r="J17" i="1"/>
  <c r="I17" i="1"/>
  <c r="H18" i="7"/>
  <c r="J17" i="7"/>
  <c r="I17" i="7"/>
  <c r="A18" i="4"/>
  <c r="C17" i="4"/>
  <c r="B17" i="4"/>
  <c r="C18" i="8" l="1"/>
  <c r="B18" i="8"/>
  <c r="A19" i="8"/>
  <c r="C18" i="10"/>
  <c r="A19" i="10"/>
  <c r="B18" i="10"/>
  <c r="R19" i="5"/>
  <c r="AA19" i="5"/>
  <c r="Z19" i="5"/>
  <c r="S19" i="5"/>
  <c r="L20" i="5"/>
  <c r="A19" i="5"/>
  <c r="C18" i="5"/>
  <c r="B18" i="5"/>
  <c r="J18" i="10"/>
  <c r="I18" i="10"/>
  <c r="H19" i="10"/>
  <c r="H18" i="3"/>
  <c r="J17" i="3"/>
  <c r="I17" i="3"/>
  <c r="AA19" i="4"/>
  <c r="L20" i="4"/>
  <c r="Z19" i="4"/>
  <c r="S19" i="4"/>
  <c r="R19" i="4"/>
  <c r="AA19" i="12"/>
  <c r="L20" i="12"/>
  <c r="Z19" i="12"/>
  <c r="S19" i="12"/>
  <c r="R19" i="12"/>
  <c r="H19" i="6"/>
  <c r="J18" i="6"/>
  <c r="I18" i="6"/>
  <c r="AA20" i="2"/>
  <c r="L21" i="2"/>
  <c r="Z20" i="2"/>
  <c r="S20" i="2"/>
  <c r="R20" i="2"/>
  <c r="R19" i="10"/>
  <c r="AA19" i="10"/>
  <c r="L20" i="10"/>
  <c r="Z19" i="10"/>
  <c r="S19" i="10"/>
  <c r="AA19" i="8"/>
  <c r="L20" i="8"/>
  <c r="Z19" i="8"/>
  <c r="S19" i="8"/>
  <c r="R19" i="8"/>
  <c r="A19" i="4"/>
  <c r="C18" i="4"/>
  <c r="B18" i="4"/>
  <c r="AA19" i="1"/>
  <c r="L20" i="1"/>
  <c r="Z19" i="1"/>
  <c r="S19" i="1"/>
  <c r="R19" i="1"/>
  <c r="E21" i="9"/>
  <c r="S20" i="9"/>
  <c r="L20" i="11"/>
  <c r="Z19" i="11"/>
  <c r="S19" i="11"/>
  <c r="R19" i="11"/>
  <c r="AA19" i="11"/>
  <c r="C19" i="9"/>
  <c r="B19" i="9"/>
  <c r="A20" i="9"/>
  <c r="H19" i="4"/>
  <c r="J18" i="4"/>
  <c r="I18" i="4"/>
  <c r="I18" i="2"/>
  <c r="H19" i="2"/>
  <c r="J18" i="2"/>
  <c r="H19" i="7"/>
  <c r="J18" i="7"/>
  <c r="I18" i="7"/>
  <c r="A19" i="1"/>
  <c r="C18" i="1"/>
  <c r="B18" i="1"/>
  <c r="J17" i="8"/>
  <c r="I17" i="8"/>
  <c r="H18" i="8"/>
  <c r="A19" i="7"/>
  <c r="C18" i="7"/>
  <c r="B18" i="7"/>
  <c r="R18" i="3"/>
  <c r="AA18" i="3"/>
  <c r="Z18" i="3"/>
  <c r="S18" i="3"/>
  <c r="L19" i="3"/>
  <c r="J18" i="9"/>
  <c r="H19" i="9"/>
  <c r="I18" i="9"/>
  <c r="L19" i="6"/>
  <c r="Z18" i="6"/>
  <c r="S18" i="6"/>
  <c r="R18" i="6"/>
  <c r="AA18" i="6"/>
  <c r="A19" i="11"/>
  <c r="C18" i="11"/>
  <c r="B18" i="11"/>
  <c r="A19" i="12"/>
  <c r="C18" i="12"/>
  <c r="B18" i="12"/>
  <c r="AA19" i="7"/>
  <c r="Z19" i="7"/>
  <c r="L20" i="7"/>
  <c r="S19" i="7"/>
  <c r="R19" i="7"/>
  <c r="C17" i="3"/>
  <c r="B17" i="3"/>
  <c r="A18" i="3"/>
  <c r="A18" i="6"/>
  <c r="C17" i="6"/>
  <c r="B17" i="6"/>
  <c r="C18" i="2"/>
  <c r="B18" i="2"/>
  <c r="A19" i="2"/>
  <c r="I18" i="1"/>
  <c r="J18" i="1"/>
  <c r="H19" i="1"/>
  <c r="J18" i="5"/>
  <c r="I18" i="5"/>
  <c r="H19" i="5"/>
  <c r="I18" i="11"/>
  <c r="J18" i="11"/>
  <c r="H19" i="11"/>
  <c r="H19" i="12"/>
  <c r="J18" i="12"/>
  <c r="I18" i="12"/>
  <c r="AA20" i="11" l="1"/>
  <c r="L21" i="11"/>
  <c r="Z20" i="11"/>
  <c r="R20" i="11"/>
  <c r="S20" i="11"/>
  <c r="AA21" i="2"/>
  <c r="L22" i="2"/>
  <c r="Z21" i="2"/>
  <c r="S21" i="2"/>
  <c r="R21" i="2"/>
  <c r="AA20" i="5"/>
  <c r="Z20" i="5"/>
  <c r="L21" i="5"/>
  <c r="S20" i="5"/>
  <c r="R20" i="5"/>
  <c r="AA20" i="4"/>
  <c r="L21" i="4"/>
  <c r="Z20" i="4"/>
  <c r="S20" i="4"/>
  <c r="R20" i="4"/>
  <c r="AA19" i="6"/>
  <c r="L20" i="6"/>
  <c r="Z19" i="6"/>
  <c r="S19" i="6"/>
  <c r="R19" i="6"/>
  <c r="J18" i="8"/>
  <c r="I18" i="8"/>
  <c r="H19" i="8"/>
  <c r="E22" i="9"/>
  <c r="S21" i="9"/>
  <c r="AA20" i="8"/>
  <c r="Z20" i="8"/>
  <c r="R20" i="8"/>
  <c r="S20" i="8"/>
  <c r="L21" i="8"/>
  <c r="C19" i="5"/>
  <c r="B19" i="5"/>
  <c r="A20" i="5"/>
  <c r="H20" i="2"/>
  <c r="J19" i="2"/>
  <c r="I19" i="2"/>
  <c r="A20" i="2"/>
  <c r="C19" i="2"/>
  <c r="B19" i="2"/>
  <c r="H20" i="1"/>
  <c r="J19" i="1"/>
  <c r="I19" i="1"/>
  <c r="AA20" i="7"/>
  <c r="L21" i="7"/>
  <c r="Z20" i="7"/>
  <c r="S20" i="7"/>
  <c r="R20" i="7"/>
  <c r="A20" i="7"/>
  <c r="C19" i="7"/>
  <c r="B19" i="7"/>
  <c r="H20" i="12"/>
  <c r="J19" i="12"/>
  <c r="I19" i="12"/>
  <c r="H20" i="9"/>
  <c r="I19" i="9"/>
  <c r="J19" i="9"/>
  <c r="J19" i="4"/>
  <c r="I19" i="4"/>
  <c r="H20" i="4"/>
  <c r="J19" i="6"/>
  <c r="I19" i="6"/>
  <c r="H20" i="6"/>
  <c r="A21" i="9"/>
  <c r="C20" i="9"/>
  <c r="B20" i="9"/>
  <c r="H19" i="3"/>
  <c r="J18" i="3"/>
  <c r="I18" i="3"/>
  <c r="S19" i="3"/>
  <c r="AA19" i="3"/>
  <c r="Z19" i="3"/>
  <c r="R19" i="3"/>
  <c r="L20" i="3"/>
  <c r="R20" i="1"/>
  <c r="S20" i="1"/>
  <c r="AA20" i="1"/>
  <c r="L21" i="1"/>
  <c r="Z20" i="1"/>
  <c r="AA20" i="10"/>
  <c r="L21" i="10"/>
  <c r="Z20" i="10"/>
  <c r="R20" i="10"/>
  <c r="S20" i="10"/>
  <c r="H20" i="10"/>
  <c r="J19" i="10"/>
  <c r="I19" i="10"/>
  <c r="A20" i="10"/>
  <c r="B19" i="10"/>
  <c r="C19" i="10"/>
  <c r="H20" i="5"/>
  <c r="J19" i="5"/>
  <c r="I19" i="5"/>
  <c r="A19" i="6"/>
  <c r="C18" i="6"/>
  <c r="B18" i="6"/>
  <c r="A19" i="3"/>
  <c r="C18" i="3"/>
  <c r="B18" i="3"/>
  <c r="S20" i="12"/>
  <c r="R20" i="12"/>
  <c r="AA20" i="12"/>
  <c r="L21" i="12"/>
  <c r="Z20" i="12"/>
  <c r="A20" i="11"/>
  <c r="C19" i="11"/>
  <c r="B19" i="11"/>
  <c r="H20" i="11"/>
  <c r="J19" i="11"/>
  <c r="I19" i="11"/>
  <c r="C19" i="12"/>
  <c r="B19" i="12"/>
  <c r="A20" i="12"/>
  <c r="C19" i="1"/>
  <c r="B19" i="1"/>
  <c r="A20" i="1"/>
  <c r="A20" i="8"/>
  <c r="C19" i="8"/>
  <c r="B19" i="8"/>
  <c r="I19" i="7"/>
  <c r="H20" i="7"/>
  <c r="J19" i="7"/>
  <c r="A20" i="4"/>
  <c r="C19" i="4"/>
  <c r="B19" i="4"/>
  <c r="AA21" i="12" l="1"/>
  <c r="L22" i="12"/>
  <c r="Z21" i="12"/>
  <c r="S21" i="12"/>
  <c r="R21" i="12"/>
  <c r="I20" i="5"/>
  <c r="H21" i="5"/>
  <c r="J20" i="5"/>
  <c r="I19" i="3"/>
  <c r="H20" i="3"/>
  <c r="J19" i="3"/>
  <c r="H21" i="9"/>
  <c r="J20" i="9"/>
  <c r="I20" i="9"/>
  <c r="Z21" i="8"/>
  <c r="L22" i="8"/>
  <c r="S21" i="8"/>
  <c r="R21" i="8"/>
  <c r="AA21" i="8"/>
  <c r="A20" i="3"/>
  <c r="C19" i="3"/>
  <c r="B19" i="3"/>
  <c r="AA21" i="1"/>
  <c r="L22" i="1"/>
  <c r="Z21" i="1"/>
  <c r="S21" i="1"/>
  <c r="R21" i="1"/>
  <c r="AA20" i="6"/>
  <c r="L21" i="6"/>
  <c r="Z20" i="6"/>
  <c r="S20" i="6"/>
  <c r="R20" i="6"/>
  <c r="I20" i="10"/>
  <c r="H21" i="10"/>
  <c r="J20" i="10"/>
  <c r="A21" i="12"/>
  <c r="C20" i="12"/>
  <c r="B20" i="12"/>
  <c r="H21" i="1"/>
  <c r="J20" i="1"/>
  <c r="I20" i="1"/>
  <c r="A21" i="1"/>
  <c r="C20" i="1"/>
  <c r="B20" i="1"/>
  <c r="A21" i="10"/>
  <c r="C20" i="10"/>
  <c r="B20" i="10"/>
  <c r="B21" i="9"/>
  <c r="C21" i="9"/>
  <c r="A22" i="9"/>
  <c r="H21" i="12"/>
  <c r="J20" i="12"/>
  <c r="I20" i="12"/>
  <c r="C20" i="4"/>
  <c r="B20" i="4"/>
  <c r="A21" i="4"/>
  <c r="H21" i="6"/>
  <c r="J20" i="6"/>
  <c r="I20" i="6"/>
  <c r="AA22" i="2"/>
  <c r="L23" i="2"/>
  <c r="Z22" i="2"/>
  <c r="S22" i="2"/>
  <c r="R22" i="2"/>
  <c r="L21" i="3"/>
  <c r="Z20" i="3"/>
  <c r="S20" i="3"/>
  <c r="R20" i="3"/>
  <c r="AA20" i="3"/>
  <c r="A21" i="2"/>
  <c r="C20" i="2"/>
  <c r="B20" i="2"/>
  <c r="H21" i="7"/>
  <c r="J20" i="7"/>
  <c r="I20" i="7"/>
  <c r="C20" i="7"/>
  <c r="B20" i="7"/>
  <c r="A21" i="7"/>
  <c r="E23" i="9"/>
  <c r="S22" i="9"/>
  <c r="AA21" i="4"/>
  <c r="L22" i="4"/>
  <c r="Z21" i="4"/>
  <c r="S21" i="4"/>
  <c r="R21" i="4"/>
  <c r="J20" i="11"/>
  <c r="I20" i="11"/>
  <c r="H21" i="11"/>
  <c r="H21" i="4"/>
  <c r="J20" i="4"/>
  <c r="I20" i="4"/>
  <c r="H20" i="8"/>
  <c r="J19" i="8"/>
  <c r="I19" i="8"/>
  <c r="J20" i="2"/>
  <c r="I20" i="2"/>
  <c r="H21" i="2"/>
  <c r="A20" i="6"/>
  <c r="C19" i="6"/>
  <c r="B19" i="6"/>
  <c r="A21" i="5"/>
  <c r="C20" i="5"/>
  <c r="B20" i="5"/>
  <c r="AA21" i="11"/>
  <c r="L22" i="11"/>
  <c r="Z21" i="11"/>
  <c r="S21" i="11"/>
  <c r="R21" i="11"/>
  <c r="C20" i="8"/>
  <c r="B20" i="8"/>
  <c r="A21" i="8"/>
  <c r="A21" i="11"/>
  <c r="B20" i="11"/>
  <c r="C20" i="11"/>
  <c r="L22" i="10"/>
  <c r="Z21" i="10"/>
  <c r="S21" i="10"/>
  <c r="AA21" i="10"/>
  <c r="R21" i="10"/>
  <c r="AA21" i="7"/>
  <c r="Z21" i="7"/>
  <c r="L22" i="7"/>
  <c r="S21" i="7"/>
  <c r="R21" i="7"/>
  <c r="L22" i="5"/>
  <c r="Z21" i="5"/>
  <c r="S21" i="5"/>
  <c r="R21" i="5"/>
  <c r="AA21" i="5"/>
  <c r="H22" i="9" l="1"/>
  <c r="J21" i="9"/>
  <c r="I21" i="9"/>
  <c r="AA22" i="4"/>
  <c r="L23" i="4"/>
  <c r="Z22" i="4"/>
  <c r="S22" i="4"/>
  <c r="R22" i="4"/>
  <c r="B21" i="2"/>
  <c r="C21" i="2"/>
  <c r="A22" i="2"/>
  <c r="H22" i="10"/>
  <c r="I21" i="10"/>
  <c r="J21" i="10"/>
  <c r="J20" i="3"/>
  <c r="H21" i="3"/>
  <c r="I20" i="3"/>
  <c r="A22" i="12"/>
  <c r="C21" i="12"/>
  <c r="B21" i="12"/>
  <c r="L23" i="11"/>
  <c r="Z22" i="11"/>
  <c r="S22" i="11"/>
  <c r="R22" i="11"/>
  <c r="AA22" i="11"/>
  <c r="H22" i="6"/>
  <c r="J21" i="6"/>
  <c r="I21" i="6"/>
  <c r="A22" i="10"/>
  <c r="C21" i="10"/>
  <c r="B21" i="10"/>
  <c r="L23" i="1"/>
  <c r="Z22" i="1"/>
  <c r="S22" i="1"/>
  <c r="R22" i="1"/>
  <c r="AA22" i="1"/>
  <c r="H21" i="8"/>
  <c r="J20" i="8"/>
  <c r="I20" i="8"/>
  <c r="A22" i="4"/>
  <c r="C21" i="4"/>
  <c r="B21" i="4"/>
  <c r="C20" i="3"/>
  <c r="A21" i="3"/>
  <c r="B20" i="3"/>
  <c r="L23" i="10"/>
  <c r="Z22" i="10"/>
  <c r="R22" i="10"/>
  <c r="AA22" i="10"/>
  <c r="S22" i="10"/>
  <c r="E24" i="9"/>
  <c r="S23" i="9"/>
  <c r="H22" i="5"/>
  <c r="J21" i="5"/>
  <c r="I21" i="5"/>
  <c r="R22" i="5"/>
  <c r="L23" i="5"/>
  <c r="AA22" i="5"/>
  <c r="Z22" i="5"/>
  <c r="S22" i="5"/>
  <c r="A22" i="5"/>
  <c r="C21" i="5"/>
  <c r="B21" i="5"/>
  <c r="H22" i="4"/>
  <c r="J21" i="4"/>
  <c r="I21" i="4"/>
  <c r="AA21" i="3"/>
  <c r="Z21" i="3"/>
  <c r="S21" i="3"/>
  <c r="R21" i="3"/>
  <c r="L22" i="3"/>
  <c r="AA21" i="6"/>
  <c r="L22" i="6"/>
  <c r="Z21" i="6"/>
  <c r="S21" i="6"/>
  <c r="R21" i="6"/>
  <c r="A22" i="7"/>
  <c r="C21" i="7"/>
  <c r="B21" i="7"/>
  <c r="I21" i="1"/>
  <c r="H22" i="1"/>
  <c r="J21" i="1"/>
  <c r="C21" i="11"/>
  <c r="B21" i="11"/>
  <c r="A22" i="11"/>
  <c r="I21" i="11"/>
  <c r="J21" i="11"/>
  <c r="H22" i="11"/>
  <c r="S22" i="8"/>
  <c r="AA22" i="8"/>
  <c r="Z22" i="8"/>
  <c r="L23" i="8"/>
  <c r="R22" i="8"/>
  <c r="A22" i="8"/>
  <c r="C21" i="8"/>
  <c r="B21" i="8"/>
  <c r="J21" i="12"/>
  <c r="I21" i="12"/>
  <c r="H22" i="12"/>
  <c r="AA22" i="7"/>
  <c r="Z22" i="7"/>
  <c r="L23" i="7"/>
  <c r="S22" i="7"/>
  <c r="R22" i="7"/>
  <c r="C20" i="6"/>
  <c r="B20" i="6"/>
  <c r="A21" i="6"/>
  <c r="C22" i="9"/>
  <c r="B22" i="9"/>
  <c r="A23" i="9"/>
  <c r="AA22" i="12"/>
  <c r="L23" i="12"/>
  <c r="Z22" i="12"/>
  <c r="S22" i="12"/>
  <c r="R22" i="12"/>
  <c r="A22" i="1"/>
  <c r="C21" i="1"/>
  <c r="B21" i="1"/>
  <c r="H22" i="2"/>
  <c r="J21" i="2"/>
  <c r="I21" i="2"/>
  <c r="H22" i="7"/>
  <c r="J21" i="7"/>
  <c r="I21" i="7"/>
  <c r="AA23" i="2"/>
  <c r="L24" i="2"/>
  <c r="Z23" i="2"/>
  <c r="S23" i="2"/>
  <c r="R23" i="2"/>
  <c r="J22" i="10" l="1"/>
  <c r="H23" i="10"/>
  <c r="I22" i="10"/>
  <c r="A22" i="6"/>
  <c r="C21" i="6"/>
  <c r="B21" i="6"/>
  <c r="AA22" i="3"/>
  <c r="L23" i="3"/>
  <c r="Z22" i="3"/>
  <c r="S22" i="3"/>
  <c r="R22" i="3"/>
  <c r="A23" i="2"/>
  <c r="C22" i="2"/>
  <c r="B22" i="2"/>
  <c r="J22" i="2"/>
  <c r="I22" i="2"/>
  <c r="H23" i="2"/>
  <c r="AA23" i="11"/>
  <c r="L24" i="11"/>
  <c r="Z23" i="11"/>
  <c r="R23" i="11"/>
  <c r="S23" i="11"/>
  <c r="AA23" i="10"/>
  <c r="S23" i="10"/>
  <c r="R23" i="10"/>
  <c r="Z23" i="10"/>
  <c r="L24" i="10"/>
  <c r="R23" i="8"/>
  <c r="Z23" i="8"/>
  <c r="S23" i="8"/>
  <c r="L24" i="8"/>
  <c r="AA23" i="8"/>
  <c r="B21" i="3"/>
  <c r="A22" i="3"/>
  <c r="C21" i="3"/>
  <c r="AA23" i="1"/>
  <c r="L24" i="1"/>
  <c r="Z23" i="1"/>
  <c r="S23" i="1"/>
  <c r="R23" i="1"/>
  <c r="B22" i="1"/>
  <c r="A23" i="1"/>
  <c r="C22" i="1"/>
  <c r="S23" i="7"/>
  <c r="AA23" i="7"/>
  <c r="Z23" i="7"/>
  <c r="R23" i="7"/>
  <c r="L24" i="7"/>
  <c r="B22" i="12"/>
  <c r="A23" i="12"/>
  <c r="C22" i="12"/>
  <c r="H23" i="1"/>
  <c r="J22" i="1"/>
  <c r="I22" i="1"/>
  <c r="A23" i="7"/>
  <c r="C22" i="7"/>
  <c r="B22" i="7"/>
  <c r="J22" i="5"/>
  <c r="I22" i="5"/>
  <c r="H23" i="5"/>
  <c r="C22" i="10"/>
  <c r="B22" i="10"/>
  <c r="A23" i="10"/>
  <c r="S23" i="4"/>
  <c r="R23" i="4"/>
  <c r="AA23" i="4"/>
  <c r="L24" i="4"/>
  <c r="Z23" i="4"/>
  <c r="AA23" i="5"/>
  <c r="L24" i="5"/>
  <c r="Z23" i="5"/>
  <c r="S23" i="5"/>
  <c r="R23" i="5"/>
  <c r="R24" i="2"/>
  <c r="S24" i="2"/>
  <c r="AA24" i="2"/>
  <c r="L25" i="2"/>
  <c r="Z24" i="2"/>
  <c r="AA23" i="12"/>
  <c r="L24" i="12"/>
  <c r="Z23" i="12"/>
  <c r="S23" i="12"/>
  <c r="R23" i="12"/>
  <c r="H23" i="11"/>
  <c r="J22" i="11"/>
  <c r="I22" i="11"/>
  <c r="H23" i="4"/>
  <c r="J22" i="4"/>
  <c r="I22" i="4"/>
  <c r="C22" i="4"/>
  <c r="B22" i="4"/>
  <c r="A23" i="4"/>
  <c r="J21" i="3"/>
  <c r="I21" i="3"/>
  <c r="H22" i="3"/>
  <c r="A23" i="8"/>
  <c r="B22" i="8"/>
  <c r="C22" i="8"/>
  <c r="E25" i="9"/>
  <c r="S24" i="9"/>
  <c r="H23" i="12"/>
  <c r="J22" i="12"/>
  <c r="I22" i="12"/>
  <c r="I22" i="7"/>
  <c r="H23" i="7"/>
  <c r="J22" i="7"/>
  <c r="A24" i="9"/>
  <c r="C23" i="9"/>
  <c r="B23" i="9"/>
  <c r="H23" i="6"/>
  <c r="J22" i="6"/>
  <c r="I22" i="6"/>
  <c r="A23" i="11"/>
  <c r="C22" i="11"/>
  <c r="B22" i="11"/>
  <c r="AA22" i="6"/>
  <c r="L23" i="6"/>
  <c r="Z22" i="6"/>
  <c r="S22" i="6"/>
  <c r="R22" i="6"/>
  <c r="A23" i="5"/>
  <c r="C22" i="5"/>
  <c r="B22" i="5"/>
  <c r="H22" i="8"/>
  <c r="J21" i="8"/>
  <c r="I21" i="8"/>
  <c r="J22" i="9"/>
  <c r="I22" i="9"/>
  <c r="H23" i="9"/>
  <c r="J22" i="3" l="1"/>
  <c r="H23" i="3"/>
  <c r="I22" i="3"/>
  <c r="AA24" i="5"/>
  <c r="Z24" i="5"/>
  <c r="S24" i="5"/>
  <c r="R24" i="5"/>
  <c r="L25" i="5"/>
  <c r="C22" i="3"/>
  <c r="B22" i="3"/>
  <c r="A23" i="3"/>
  <c r="Z24" i="7"/>
  <c r="S24" i="7"/>
  <c r="L25" i="7"/>
  <c r="R24" i="7"/>
  <c r="AA24" i="7"/>
  <c r="B24" i="9"/>
  <c r="A25" i="9"/>
  <c r="C24" i="9"/>
  <c r="S23" i="6"/>
  <c r="R23" i="6"/>
  <c r="AA23" i="6"/>
  <c r="Z23" i="6"/>
  <c r="L24" i="6"/>
  <c r="H24" i="7"/>
  <c r="J23" i="7"/>
  <c r="I23" i="7"/>
  <c r="H24" i="11"/>
  <c r="J23" i="11"/>
  <c r="I23" i="11"/>
  <c r="C23" i="2"/>
  <c r="B23" i="2"/>
  <c r="A24" i="2"/>
  <c r="J23" i="9"/>
  <c r="I23" i="9"/>
  <c r="H24" i="9"/>
  <c r="A24" i="4"/>
  <c r="C23" i="4"/>
  <c r="B23" i="4"/>
  <c r="AA24" i="12"/>
  <c r="L25" i="12"/>
  <c r="Z24" i="12"/>
  <c r="S24" i="12"/>
  <c r="R24" i="12"/>
  <c r="AA23" i="3"/>
  <c r="Z23" i="3"/>
  <c r="S23" i="3"/>
  <c r="R23" i="3"/>
  <c r="L24" i="3"/>
  <c r="AA24" i="4"/>
  <c r="L25" i="4"/>
  <c r="Z24" i="4"/>
  <c r="S24" i="4"/>
  <c r="R24" i="4"/>
  <c r="B23" i="7"/>
  <c r="A24" i="7"/>
  <c r="C23" i="7"/>
  <c r="AA24" i="8"/>
  <c r="Z24" i="8"/>
  <c r="S24" i="8"/>
  <c r="L25" i="8"/>
  <c r="R24" i="8"/>
  <c r="S24" i="11"/>
  <c r="R24" i="11"/>
  <c r="AA24" i="11"/>
  <c r="L25" i="11"/>
  <c r="Z24" i="11"/>
  <c r="H24" i="5"/>
  <c r="J23" i="5"/>
  <c r="I23" i="5"/>
  <c r="A24" i="1"/>
  <c r="C23" i="1"/>
  <c r="B23" i="1"/>
  <c r="C23" i="11"/>
  <c r="B23" i="11"/>
  <c r="A24" i="11"/>
  <c r="A24" i="8"/>
  <c r="C23" i="8"/>
  <c r="B23" i="8"/>
  <c r="H23" i="8"/>
  <c r="J22" i="8"/>
  <c r="I22" i="8"/>
  <c r="J23" i="1"/>
  <c r="I23" i="1"/>
  <c r="H24" i="1"/>
  <c r="C22" i="6"/>
  <c r="B22" i="6"/>
  <c r="A23" i="6"/>
  <c r="H24" i="4"/>
  <c r="J23" i="4"/>
  <c r="I23" i="4"/>
  <c r="J23" i="12"/>
  <c r="I23" i="12"/>
  <c r="H24" i="12"/>
  <c r="AA25" i="2"/>
  <c r="L26" i="2"/>
  <c r="Z25" i="2"/>
  <c r="S25" i="2"/>
  <c r="R25" i="2"/>
  <c r="H24" i="2"/>
  <c r="J23" i="2"/>
  <c r="I23" i="2"/>
  <c r="E26" i="9"/>
  <c r="S25" i="9"/>
  <c r="C23" i="10"/>
  <c r="B23" i="10"/>
  <c r="A24" i="10"/>
  <c r="L25" i="10"/>
  <c r="Z24" i="10"/>
  <c r="S24" i="10"/>
  <c r="AA24" i="10"/>
  <c r="R24" i="10"/>
  <c r="H24" i="6"/>
  <c r="J23" i="6"/>
  <c r="I23" i="6"/>
  <c r="A24" i="12"/>
  <c r="C23" i="12"/>
  <c r="B23" i="12"/>
  <c r="H24" i="10"/>
  <c r="I23" i="10"/>
  <c r="J23" i="10"/>
  <c r="C23" i="5"/>
  <c r="B23" i="5"/>
  <c r="A24" i="5"/>
  <c r="AA24" i="1"/>
  <c r="L25" i="1"/>
  <c r="Z24" i="1"/>
  <c r="S24" i="1"/>
  <c r="R24" i="1"/>
  <c r="AA24" i="6" l="1"/>
  <c r="L25" i="6"/>
  <c r="Z24" i="6"/>
  <c r="S24" i="6"/>
  <c r="R24" i="6"/>
  <c r="H25" i="10"/>
  <c r="J24" i="10"/>
  <c r="I24" i="10"/>
  <c r="A25" i="10"/>
  <c r="C24" i="10"/>
  <c r="B24" i="10"/>
  <c r="C24" i="1"/>
  <c r="B24" i="1"/>
  <c r="A25" i="1"/>
  <c r="B23" i="3"/>
  <c r="A24" i="3"/>
  <c r="C23" i="3"/>
  <c r="L27" i="2"/>
  <c r="Z26" i="2"/>
  <c r="S26" i="2"/>
  <c r="R26" i="2"/>
  <c r="AA26" i="2"/>
  <c r="H25" i="9"/>
  <c r="J24" i="9"/>
  <c r="I24" i="9"/>
  <c r="H25" i="12"/>
  <c r="J24" i="12"/>
  <c r="I24" i="12"/>
  <c r="A25" i="2"/>
  <c r="C24" i="2"/>
  <c r="B24" i="2"/>
  <c r="C24" i="12"/>
  <c r="B24" i="12"/>
  <c r="A25" i="12"/>
  <c r="J23" i="8"/>
  <c r="I23" i="8"/>
  <c r="H24" i="8"/>
  <c r="H25" i="5"/>
  <c r="I24" i="5"/>
  <c r="J24" i="5"/>
  <c r="A25" i="7"/>
  <c r="C24" i="7"/>
  <c r="B24" i="7"/>
  <c r="AA25" i="5"/>
  <c r="L26" i="5"/>
  <c r="Z25" i="5"/>
  <c r="S25" i="5"/>
  <c r="R25" i="5"/>
  <c r="AA25" i="10"/>
  <c r="Z25" i="10"/>
  <c r="L26" i="10"/>
  <c r="S25" i="10"/>
  <c r="R25" i="10"/>
  <c r="E27" i="9"/>
  <c r="S26" i="9"/>
  <c r="AA25" i="1"/>
  <c r="L26" i="1"/>
  <c r="Z25" i="1"/>
  <c r="R25" i="1"/>
  <c r="S25" i="1"/>
  <c r="L26" i="11"/>
  <c r="Z25" i="11"/>
  <c r="S25" i="11"/>
  <c r="R25" i="11"/>
  <c r="AA25" i="11"/>
  <c r="A26" i="9"/>
  <c r="C25" i="9"/>
  <c r="B25" i="9"/>
  <c r="J24" i="6"/>
  <c r="I24" i="6"/>
  <c r="H25" i="6"/>
  <c r="A25" i="8"/>
  <c r="B24" i="8"/>
  <c r="C24" i="8"/>
  <c r="R25" i="12"/>
  <c r="AA25" i="12"/>
  <c r="L26" i="12"/>
  <c r="Z25" i="12"/>
  <c r="S25" i="12"/>
  <c r="H25" i="11"/>
  <c r="I24" i="11"/>
  <c r="J24" i="11"/>
  <c r="H25" i="2"/>
  <c r="J24" i="2"/>
  <c r="I24" i="2"/>
  <c r="J24" i="4"/>
  <c r="I24" i="4"/>
  <c r="H25" i="4"/>
  <c r="A25" i="5"/>
  <c r="C24" i="5"/>
  <c r="B24" i="5"/>
  <c r="A24" i="6"/>
  <c r="C23" i="6"/>
  <c r="B23" i="6"/>
  <c r="AA25" i="4"/>
  <c r="L26" i="4"/>
  <c r="Z25" i="4"/>
  <c r="S25" i="4"/>
  <c r="R25" i="4"/>
  <c r="AA25" i="7"/>
  <c r="L26" i="7"/>
  <c r="Z25" i="7"/>
  <c r="R25" i="7"/>
  <c r="S25" i="7"/>
  <c r="H24" i="3"/>
  <c r="J23" i="3"/>
  <c r="I23" i="3"/>
  <c r="A25" i="11"/>
  <c r="C24" i="11"/>
  <c r="B24" i="11"/>
  <c r="H25" i="1"/>
  <c r="J24" i="1"/>
  <c r="I24" i="1"/>
  <c r="L26" i="8"/>
  <c r="Z25" i="8"/>
  <c r="AA25" i="8"/>
  <c r="S25" i="8"/>
  <c r="R25" i="8"/>
  <c r="R24" i="3"/>
  <c r="AA24" i="3"/>
  <c r="Z24" i="3"/>
  <c r="S24" i="3"/>
  <c r="L25" i="3"/>
  <c r="A25" i="4"/>
  <c r="C24" i="4"/>
  <c r="B24" i="4"/>
  <c r="J24" i="7"/>
  <c r="I24" i="7"/>
  <c r="H25" i="7"/>
  <c r="AA26" i="4" l="1"/>
  <c r="L27" i="4"/>
  <c r="Z26" i="4"/>
  <c r="S26" i="4"/>
  <c r="R26" i="4"/>
  <c r="H26" i="6"/>
  <c r="J25" i="6"/>
  <c r="I25" i="6"/>
  <c r="I25" i="9"/>
  <c r="H26" i="9"/>
  <c r="J25" i="9"/>
  <c r="A26" i="12"/>
  <c r="C25" i="12"/>
  <c r="B25" i="12"/>
  <c r="B25" i="8"/>
  <c r="A26" i="8"/>
  <c r="C25" i="8"/>
  <c r="AA26" i="1"/>
  <c r="L27" i="1"/>
  <c r="Z26" i="1"/>
  <c r="S26" i="1"/>
  <c r="R26" i="1"/>
  <c r="S26" i="5"/>
  <c r="R26" i="5"/>
  <c r="AA26" i="5"/>
  <c r="Z26" i="5"/>
  <c r="L27" i="5"/>
  <c r="B25" i="10"/>
  <c r="A26" i="10"/>
  <c r="C25" i="10"/>
  <c r="A26" i="11"/>
  <c r="C25" i="11"/>
  <c r="B25" i="11"/>
  <c r="I25" i="2"/>
  <c r="H26" i="2"/>
  <c r="J25" i="2"/>
  <c r="H26" i="7"/>
  <c r="J25" i="7"/>
  <c r="I25" i="7"/>
  <c r="H25" i="3"/>
  <c r="J24" i="3"/>
  <c r="I24" i="3"/>
  <c r="A25" i="6"/>
  <c r="C24" i="6"/>
  <c r="B24" i="6"/>
  <c r="J25" i="11"/>
  <c r="I25" i="11"/>
  <c r="H26" i="11"/>
  <c r="C26" i="9"/>
  <c r="A27" i="9"/>
  <c r="B26" i="9"/>
  <c r="S27" i="9"/>
  <c r="E28" i="9"/>
  <c r="AA27" i="2"/>
  <c r="L28" i="2"/>
  <c r="Z27" i="2"/>
  <c r="S27" i="2"/>
  <c r="R27" i="2"/>
  <c r="H26" i="10"/>
  <c r="J25" i="10"/>
  <c r="I25" i="10"/>
  <c r="A26" i="2"/>
  <c r="C25" i="2"/>
  <c r="B25" i="2"/>
  <c r="C25" i="5"/>
  <c r="B25" i="5"/>
  <c r="A26" i="5"/>
  <c r="C24" i="3"/>
  <c r="B24" i="3"/>
  <c r="A25" i="3"/>
  <c r="H26" i="1"/>
  <c r="J25" i="1"/>
  <c r="I25" i="1"/>
  <c r="AA26" i="12"/>
  <c r="L27" i="12"/>
  <c r="Z26" i="12"/>
  <c r="S26" i="12"/>
  <c r="R26" i="12"/>
  <c r="S25" i="3"/>
  <c r="R25" i="3"/>
  <c r="AA25" i="3"/>
  <c r="Z25" i="3"/>
  <c r="L26" i="3"/>
  <c r="Z26" i="10"/>
  <c r="L27" i="10"/>
  <c r="S26" i="10"/>
  <c r="AA26" i="10"/>
  <c r="R26" i="10"/>
  <c r="I25" i="5"/>
  <c r="H26" i="5"/>
  <c r="J25" i="5"/>
  <c r="H26" i="12"/>
  <c r="J25" i="12"/>
  <c r="I25" i="12"/>
  <c r="A26" i="1"/>
  <c r="C25" i="1"/>
  <c r="B25" i="1"/>
  <c r="AA25" i="6"/>
  <c r="L26" i="6"/>
  <c r="Z25" i="6"/>
  <c r="S25" i="6"/>
  <c r="R25" i="6"/>
  <c r="L27" i="8"/>
  <c r="S26" i="8"/>
  <c r="R26" i="8"/>
  <c r="AA26" i="8"/>
  <c r="Z26" i="8"/>
  <c r="L27" i="7"/>
  <c r="AA26" i="7"/>
  <c r="Z26" i="7"/>
  <c r="S26" i="7"/>
  <c r="R26" i="7"/>
  <c r="B25" i="7"/>
  <c r="A26" i="7"/>
  <c r="C25" i="7"/>
  <c r="B25" i="4"/>
  <c r="A26" i="4"/>
  <c r="C25" i="4"/>
  <c r="H26" i="4"/>
  <c r="J25" i="4"/>
  <c r="I25" i="4"/>
  <c r="L27" i="11"/>
  <c r="AA26" i="11"/>
  <c r="Z26" i="11"/>
  <c r="S26" i="11"/>
  <c r="R26" i="11"/>
  <c r="I24" i="8"/>
  <c r="H25" i="8"/>
  <c r="J24" i="8"/>
  <c r="H27" i="11" l="1"/>
  <c r="J26" i="11"/>
  <c r="I26" i="11"/>
  <c r="J26" i="4"/>
  <c r="I26" i="4"/>
  <c r="H27" i="4"/>
  <c r="A27" i="1"/>
  <c r="C26" i="1"/>
  <c r="B26" i="1"/>
  <c r="L27" i="3"/>
  <c r="Z26" i="3"/>
  <c r="S26" i="3"/>
  <c r="AA26" i="3"/>
  <c r="R26" i="3"/>
  <c r="H27" i="1"/>
  <c r="I26" i="1"/>
  <c r="J26" i="1"/>
  <c r="J26" i="10"/>
  <c r="H27" i="10"/>
  <c r="I26" i="10"/>
  <c r="H27" i="2"/>
  <c r="J26" i="2"/>
  <c r="I26" i="2"/>
  <c r="L28" i="7"/>
  <c r="Z27" i="7"/>
  <c r="AA27" i="7"/>
  <c r="S27" i="7"/>
  <c r="R27" i="7"/>
  <c r="A26" i="3"/>
  <c r="C25" i="3"/>
  <c r="B25" i="3"/>
  <c r="I26" i="9"/>
  <c r="H27" i="9"/>
  <c r="J26" i="9"/>
  <c r="A27" i="4"/>
  <c r="C26" i="4"/>
  <c r="B26" i="4"/>
  <c r="A27" i="12"/>
  <c r="C26" i="12"/>
  <c r="B26" i="12"/>
  <c r="J25" i="8"/>
  <c r="I25" i="8"/>
  <c r="H26" i="8"/>
  <c r="I26" i="12"/>
  <c r="H27" i="12"/>
  <c r="J26" i="12"/>
  <c r="R27" i="8"/>
  <c r="AA27" i="8"/>
  <c r="Z27" i="8"/>
  <c r="L28" i="8"/>
  <c r="S27" i="8"/>
  <c r="A27" i="5"/>
  <c r="C26" i="5"/>
  <c r="B26" i="5"/>
  <c r="AA28" i="2"/>
  <c r="L29" i="2"/>
  <c r="Z28" i="2"/>
  <c r="S28" i="2"/>
  <c r="R28" i="2"/>
  <c r="B25" i="6"/>
  <c r="A26" i="6"/>
  <c r="C25" i="6"/>
  <c r="B26" i="11"/>
  <c r="C26" i="11"/>
  <c r="A27" i="11"/>
  <c r="S27" i="1"/>
  <c r="R27" i="1"/>
  <c r="L28" i="1"/>
  <c r="AA27" i="1"/>
  <c r="Z27" i="1"/>
  <c r="A27" i="7"/>
  <c r="C26" i="7"/>
  <c r="B26" i="7"/>
  <c r="H27" i="5"/>
  <c r="J26" i="5"/>
  <c r="I26" i="5"/>
  <c r="J26" i="6"/>
  <c r="I26" i="6"/>
  <c r="H27" i="6"/>
  <c r="S28" i="9"/>
  <c r="E29" i="9"/>
  <c r="A27" i="10"/>
  <c r="C26" i="10"/>
  <c r="B26" i="10"/>
  <c r="I25" i="3"/>
  <c r="H26" i="3"/>
  <c r="J25" i="3"/>
  <c r="C26" i="8"/>
  <c r="B26" i="8"/>
  <c r="A27" i="8"/>
  <c r="AA27" i="5"/>
  <c r="Z27" i="5"/>
  <c r="S27" i="5"/>
  <c r="L28" i="5"/>
  <c r="R27" i="5"/>
  <c r="AA26" i="6"/>
  <c r="L27" i="6"/>
  <c r="Z26" i="6"/>
  <c r="S26" i="6"/>
  <c r="R26" i="6"/>
  <c r="L28" i="12"/>
  <c r="Z27" i="12"/>
  <c r="S27" i="12"/>
  <c r="R27" i="12"/>
  <c r="AA27" i="12"/>
  <c r="L28" i="11"/>
  <c r="AA27" i="11"/>
  <c r="Z27" i="11"/>
  <c r="R27" i="11"/>
  <c r="S27" i="11"/>
  <c r="B26" i="2"/>
  <c r="A27" i="2"/>
  <c r="C26" i="2"/>
  <c r="A28" i="9"/>
  <c r="C27" i="9"/>
  <c r="B27" i="9"/>
  <c r="AA27" i="4"/>
  <c r="L28" i="4"/>
  <c r="Z27" i="4"/>
  <c r="S27" i="4"/>
  <c r="R27" i="4"/>
  <c r="AA27" i="10"/>
  <c r="L28" i="10"/>
  <c r="S27" i="10"/>
  <c r="R27" i="10"/>
  <c r="Z27" i="10"/>
  <c r="I26" i="7"/>
  <c r="J26" i="7"/>
  <c r="H27" i="7"/>
  <c r="C27" i="7" l="1"/>
  <c r="A28" i="7"/>
  <c r="B27" i="7"/>
  <c r="C27" i="4"/>
  <c r="B27" i="4"/>
  <c r="A28" i="4"/>
  <c r="R28" i="4"/>
  <c r="AA28" i="4"/>
  <c r="L29" i="4"/>
  <c r="Z28" i="4"/>
  <c r="S28" i="4"/>
  <c r="AA28" i="5"/>
  <c r="L29" i="5"/>
  <c r="Z28" i="5"/>
  <c r="S28" i="5"/>
  <c r="R28" i="5"/>
  <c r="B27" i="10"/>
  <c r="A28" i="10"/>
  <c r="C27" i="10"/>
  <c r="AA27" i="3"/>
  <c r="L28" i="3"/>
  <c r="Z27" i="3"/>
  <c r="S27" i="3"/>
  <c r="R27" i="3"/>
  <c r="AA28" i="11"/>
  <c r="L29" i="11"/>
  <c r="Z28" i="11"/>
  <c r="S28" i="11"/>
  <c r="R28" i="11"/>
  <c r="H28" i="7"/>
  <c r="J27" i="7"/>
  <c r="I27" i="7"/>
  <c r="S29" i="9"/>
  <c r="E30" i="9"/>
  <c r="H28" i="12"/>
  <c r="J27" i="12"/>
  <c r="I27" i="12"/>
  <c r="H28" i="9"/>
  <c r="J27" i="9"/>
  <c r="I27" i="9"/>
  <c r="J27" i="2"/>
  <c r="I27" i="2"/>
  <c r="H28" i="2"/>
  <c r="AA28" i="1"/>
  <c r="L29" i="1"/>
  <c r="Z28" i="1"/>
  <c r="S28" i="1"/>
  <c r="R28" i="1"/>
  <c r="R29" i="2"/>
  <c r="AA29" i="2"/>
  <c r="L30" i="2"/>
  <c r="Z29" i="2"/>
  <c r="S29" i="2"/>
  <c r="R28" i="7"/>
  <c r="AA28" i="7"/>
  <c r="Z28" i="7"/>
  <c r="S28" i="7"/>
  <c r="L29" i="7"/>
  <c r="H27" i="8"/>
  <c r="J26" i="8"/>
  <c r="I26" i="8"/>
  <c r="H28" i="10"/>
  <c r="I27" i="10"/>
  <c r="J27" i="10"/>
  <c r="A28" i="1"/>
  <c r="C27" i="1"/>
  <c r="B27" i="1"/>
  <c r="H28" i="6"/>
  <c r="J27" i="6"/>
  <c r="I27" i="6"/>
  <c r="A29" i="9"/>
  <c r="C28" i="9"/>
  <c r="B28" i="9"/>
  <c r="C27" i="8"/>
  <c r="A28" i="8"/>
  <c r="B27" i="8"/>
  <c r="H28" i="4"/>
  <c r="J27" i="4"/>
  <c r="I27" i="4"/>
  <c r="AA28" i="12"/>
  <c r="L29" i="12"/>
  <c r="Z28" i="12"/>
  <c r="S28" i="12"/>
  <c r="R28" i="12"/>
  <c r="A27" i="3"/>
  <c r="C26" i="3"/>
  <c r="B26" i="3"/>
  <c r="A28" i="5"/>
  <c r="C27" i="5"/>
  <c r="B27" i="5"/>
  <c r="A28" i="11"/>
  <c r="C27" i="11"/>
  <c r="B27" i="11"/>
  <c r="A28" i="2"/>
  <c r="C27" i="2"/>
  <c r="B27" i="2"/>
  <c r="AA28" i="10"/>
  <c r="Z28" i="10"/>
  <c r="L29" i="10"/>
  <c r="S28" i="10"/>
  <c r="R28" i="10"/>
  <c r="H28" i="1"/>
  <c r="J27" i="1"/>
  <c r="I27" i="1"/>
  <c r="H27" i="3"/>
  <c r="J26" i="3"/>
  <c r="I26" i="3"/>
  <c r="J27" i="5"/>
  <c r="I27" i="5"/>
  <c r="H28" i="5"/>
  <c r="AA28" i="8"/>
  <c r="Z28" i="8"/>
  <c r="S28" i="8"/>
  <c r="R28" i="8"/>
  <c r="L29" i="8"/>
  <c r="A28" i="12"/>
  <c r="C27" i="12"/>
  <c r="B27" i="12"/>
  <c r="AA27" i="6"/>
  <c r="L28" i="6"/>
  <c r="Z27" i="6"/>
  <c r="S27" i="6"/>
  <c r="R27" i="6"/>
  <c r="A27" i="6"/>
  <c r="C26" i="6"/>
  <c r="B26" i="6"/>
  <c r="J27" i="11"/>
  <c r="I27" i="11"/>
  <c r="H28" i="11"/>
  <c r="C29" i="9" l="1"/>
  <c r="A30" i="9"/>
  <c r="B29" i="9"/>
  <c r="J27" i="8"/>
  <c r="I27" i="8"/>
  <c r="H28" i="8"/>
  <c r="J28" i="12"/>
  <c r="I28" i="12"/>
  <c r="H29" i="12"/>
  <c r="C28" i="2"/>
  <c r="B28" i="2"/>
  <c r="A29" i="2"/>
  <c r="S29" i="7"/>
  <c r="AA29" i="7"/>
  <c r="Z29" i="7"/>
  <c r="R29" i="7"/>
  <c r="L30" i="7"/>
  <c r="S30" i="9"/>
  <c r="E31" i="9"/>
  <c r="AA28" i="3"/>
  <c r="L29" i="3"/>
  <c r="Z28" i="3"/>
  <c r="S28" i="3"/>
  <c r="R28" i="3"/>
  <c r="AA29" i="4"/>
  <c r="L30" i="4"/>
  <c r="Z29" i="4"/>
  <c r="S29" i="4"/>
  <c r="R29" i="4"/>
  <c r="H29" i="6"/>
  <c r="J28" i="6"/>
  <c r="I28" i="6"/>
  <c r="AA29" i="12"/>
  <c r="L30" i="12"/>
  <c r="Z29" i="12"/>
  <c r="S29" i="12"/>
  <c r="R29" i="12"/>
  <c r="H29" i="2"/>
  <c r="J28" i="2"/>
  <c r="I28" i="2"/>
  <c r="C28" i="11"/>
  <c r="B28" i="11"/>
  <c r="A29" i="11"/>
  <c r="J28" i="1"/>
  <c r="I28" i="1"/>
  <c r="H29" i="1"/>
  <c r="H29" i="7"/>
  <c r="J28" i="7"/>
  <c r="I28" i="7"/>
  <c r="B28" i="10"/>
  <c r="A29" i="10"/>
  <c r="C28" i="10"/>
  <c r="A29" i="4"/>
  <c r="C28" i="4"/>
  <c r="B28" i="4"/>
  <c r="R28" i="6"/>
  <c r="AA28" i="6"/>
  <c r="L29" i="6"/>
  <c r="Z28" i="6"/>
  <c r="S28" i="6"/>
  <c r="AA29" i="1"/>
  <c r="L30" i="1"/>
  <c r="Z29" i="1"/>
  <c r="S29" i="1"/>
  <c r="R29" i="1"/>
  <c r="H29" i="4"/>
  <c r="J28" i="4"/>
  <c r="I28" i="4"/>
  <c r="A29" i="1"/>
  <c r="C28" i="1"/>
  <c r="B28" i="1"/>
  <c r="L30" i="8"/>
  <c r="Z29" i="8"/>
  <c r="AA29" i="8"/>
  <c r="S29" i="8"/>
  <c r="R29" i="8"/>
  <c r="C27" i="6"/>
  <c r="B27" i="6"/>
  <c r="A28" i="6"/>
  <c r="B28" i="5"/>
  <c r="C28" i="5"/>
  <c r="A29" i="5"/>
  <c r="H29" i="11"/>
  <c r="I28" i="11"/>
  <c r="J28" i="11"/>
  <c r="L30" i="10"/>
  <c r="Z29" i="10"/>
  <c r="S29" i="10"/>
  <c r="AA29" i="10"/>
  <c r="R29" i="10"/>
  <c r="A29" i="8"/>
  <c r="C28" i="8"/>
  <c r="B28" i="8"/>
  <c r="J27" i="3"/>
  <c r="I27" i="3"/>
  <c r="H28" i="3"/>
  <c r="A29" i="12"/>
  <c r="C28" i="12"/>
  <c r="B28" i="12"/>
  <c r="AA30" i="2"/>
  <c r="L31" i="2"/>
  <c r="Z30" i="2"/>
  <c r="S30" i="2"/>
  <c r="R30" i="2"/>
  <c r="H29" i="5"/>
  <c r="J28" i="5"/>
  <c r="I28" i="5"/>
  <c r="J28" i="10"/>
  <c r="H29" i="10"/>
  <c r="I28" i="10"/>
  <c r="I28" i="9"/>
  <c r="J28" i="9"/>
  <c r="H29" i="9"/>
  <c r="AA29" i="11"/>
  <c r="S29" i="11"/>
  <c r="R29" i="11"/>
  <c r="Z29" i="11"/>
  <c r="L30" i="11"/>
  <c r="A29" i="7"/>
  <c r="C28" i="7"/>
  <c r="B28" i="7"/>
  <c r="A28" i="3"/>
  <c r="B27" i="3"/>
  <c r="C27" i="3"/>
  <c r="AA29" i="5"/>
  <c r="Z29" i="5"/>
  <c r="S29" i="5"/>
  <c r="R29" i="5"/>
  <c r="L30" i="5"/>
  <c r="A30" i="7" l="1"/>
  <c r="C29" i="7"/>
  <c r="B29" i="7"/>
  <c r="J29" i="11"/>
  <c r="I29" i="11"/>
  <c r="H30" i="11"/>
  <c r="I29" i="7"/>
  <c r="H30" i="7"/>
  <c r="J29" i="7"/>
  <c r="S30" i="8"/>
  <c r="R30" i="8"/>
  <c r="L31" i="8"/>
  <c r="AA30" i="8"/>
  <c r="Z30" i="8"/>
  <c r="A30" i="5"/>
  <c r="B29" i="5"/>
  <c r="C29" i="5"/>
  <c r="AA30" i="12"/>
  <c r="L31" i="12"/>
  <c r="Z30" i="12"/>
  <c r="S30" i="12"/>
  <c r="R30" i="12"/>
  <c r="B29" i="1"/>
  <c r="C29" i="1"/>
  <c r="A30" i="1"/>
  <c r="AA29" i="3"/>
  <c r="L30" i="3"/>
  <c r="Z29" i="3"/>
  <c r="S29" i="3"/>
  <c r="R29" i="3"/>
  <c r="H30" i="12"/>
  <c r="J29" i="12"/>
  <c r="I29" i="12"/>
  <c r="AA29" i="6"/>
  <c r="L30" i="6"/>
  <c r="Z29" i="6"/>
  <c r="S29" i="6"/>
  <c r="R29" i="6"/>
  <c r="J29" i="5"/>
  <c r="I29" i="5"/>
  <c r="H30" i="5"/>
  <c r="A30" i="8"/>
  <c r="C29" i="8"/>
  <c r="B29" i="8"/>
  <c r="A29" i="6"/>
  <c r="C28" i="6"/>
  <c r="B28" i="6"/>
  <c r="A30" i="11"/>
  <c r="C29" i="11"/>
  <c r="B29" i="11"/>
  <c r="E32" i="9"/>
  <c r="S31" i="9"/>
  <c r="H30" i="1"/>
  <c r="J29" i="1"/>
  <c r="I29" i="1"/>
  <c r="I29" i="4"/>
  <c r="H30" i="4"/>
  <c r="J29" i="4"/>
  <c r="I29" i="6"/>
  <c r="H30" i="6"/>
  <c r="J29" i="6"/>
  <c r="H29" i="8"/>
  <c r="I28" i="8"/>
  <c r="J28" i="8"/>
  <c r="AA30" i="11"/>
  <c r="L31" i="11"/>
  <c r="Z30" i="11"/>
  <c r="S30" i="11"/>
  <c r="R30" i="11"/>
  <c r="AA30" i="5"/>
  <c r="L31" i="5"/>
  <c r="Z30" i="5"/>
  <c r="S30" i="5"/>
  <c r="R30" i="5"/>
  <c r="H30" i="9"/>
  <c r="J29" i="9"/>
  <c r="I29" i="9"/>
  <c r="S31" i="2"/>
  <c r="R31" i="2"/>
  <c r="Z31" i="2"/>
  <c r="L32" i="2"/>
  <c r="AA31" i="2"/>
  <c r="A30" i="4"/>
  <c r="C29" i="4"/>
  <c r="B29" i="4"/>
  <c r="L31" i="7"/>
  <c r="Z30" i="7"/>
  <c r="S30" i="7"/>
  <c r="AA30" i="7"/>
  <c r="R30" i="7"/>
  <c r="J28" i="3"/>
  <c r="I28" i="3"/>
  <c r="H29" i="3"/>
  <c r="A30" i="10"/>
  <c r="C29" i="10"/>
  <c r="B29" i="10"/>
  <c r="C28" i="3"/>
  <c r="B28" i="3"/>
  <c r="A29" i="3"/>
  <c r="R30" i="10"/>
  <c r="AA30" i="10"/>
  <c r="S30" i="10"/>
  <c r="L31" i="10"/>
  <c r="Z30" i="10"/>
  <c r="AA30" i="1"/>
  <c r="L31" i="1"/>
  <c r="Z30" i="1"/>
  <c r="S30" i="1"/>
  <c r="R30" i="1"/>
  <c r="H30" i="2"/>
  <c r="J29" i="2"/>
  <c r="I29" i="2"/>
  <c r="L31" i="4"/>
  <c r="Z30" i="4"/>
  <c r="S30" i="4"/>
  <c r="R30" i="4"/>
  <c r="AA30" i="4"/>
  <c r="C30" i="9"/>
  <c r="A31" i="9"/>
  <c r="B30" i="9"/>
  <c r="A30" i="2"/>
  <c r="C29" i="2"/>
  <c r="B29" i="2"/>
  <c r="H30" i="10"/>
  <c r="I29" i="10"/>
  <c r="J29" i="10"/>
  <c r="C29" i="12"/>
  <c r="B29" i="12"/>
  <c r="A30" i="12"/>
  <c r="C30" i="11" l="1"/>
  <c r="B30" i="11"/>
  <c r="A31" i="11"/>
  <c r="C31" i="9"/>
  <c r="B31" i="9"/>
  <c r="A32" i="9"/>
  <c r="A31" i="4"/>
  <c r="C30" i="4"/>
  <c r="B30" i="4"/>
  <c r="R31" i="5"/>
  <c r="AA31" i="5"/>
  <c r="Z31" i="5"/>
  <c r="S31" i="5"/>
  <c r="L32" i="5"/>
  <c r="L31" i="6"/>
  <c r="Z30" i="6"/>
  <c r="S30" i="6"/>
  <c r="R30" i="6"/>
  <c r="AA30" i="6"/>
  <c r="H31" i="6"/>
  <c r="J30" i="6"/>
  <c r="I30" i="6"/>
  <c r="AA31" i="1"/>
  <c r="L32" i="1"/>
  <c r="Z31" i="1"/>
  <c r="S31" i="1"/>
  <c r="R31" i="1"/>
  <c r="A31" i="10"/>
  <c r="C30" i="10"/>
  <c r="B30" i="10"/>
  <c r="A31" i="12"/>
  <c r="C30" i="12"/>
  <c r="B30" i="12"/>
  <c r="H30" i="3"/>
  <c r="J29" i="3"/>
  <c r="I29" i="3"/>
  <c r="AA32" i="2"/>
  <c r="L33" i="2"/>
  <c r="Z32" i="2"/>
  <c r="S32" i="2"/>
  <c r="R32" i="2"/>
  <c r="H31" i="4"/>
  <c r="J30" i="4"/>
  <c r="I30" i="4"/>
  <c r="A30" i="6"/>
  <c r="C29" i="6"/>
  <c r="B29" i="6"/>
  <c r="J30" i="7"/>
  <c r="H31" i="7"/>
  <c r="I30" i="7"/>
  <c r="AA31" i="10"/>
  <c r="Z31" i="10"/>
  <c r="R31" i="10"/>
  <c r="L32" i="10"/>
  <c r="S31" i="10"/>
  <c r="H31" i="12"/>
  <c r="J30" i="12"/>
  <c r="I30" i="12"/>
  <c r="L32" i="12"/>
  <c r="AA31" i="12"/>
  <c r="Z31" i="12"/>
  <c r="S31" i="12"/>
  <c r="R31" i="12"/>
  <c r="AA31" i="8"/>
  <c r="Z31" i="8"/>
  <c r="S31" i="8"/>
  <c r="L32" i="8"/>
  <c r="R31" i="8"/>
  <c r="Z31" i="11"/>
  <c r="S31" i="11"/>
  <c r="R31" i="11"/>
  <c r="AA31" i="11"/>
  <c r="L32" i="11"/>
  <c r="C30" i="8"/>
  <c r="B30" i="8"/>
  <c r="A31" i="8"/>
  <c r="J30" i="11"/>
  <c r="I30" i="11"/>
  <c r="H31" i="11"/>
  <c r="AA31" i="4"/>
  <c r="L32" i="4"/>
  <c r="Z31" i="4"/>
  <c r="S31" i="4"/>
  <c r="R31" i="4"/>
  <c r="J30" i="1"/>
  <c r="I30" i="1"/>
  <c r="H31" i="1"/>
  <c r="H31" i="5"/>
  <c r="J30" i="5"/>
  <c r="I30" i="5"/>
  <c r="H31" i="10"/>
  <c r="J30" i="10"/>
  <c r="I30" i="10"/>
  <c r="A30" i="3"/>
  <c r="C29" i="3"/>
  <c r="B29" i="3"/>
  <c r="H31" i="2"/>
  <c r="I30" i="2"/>
  <c r="J30" i="2"/>
  <c r="AA31" i="7"/>
  <c r="Z31" i="7"/>
  <c r="S31" i="7"/>
  <c r="R31" i="7"/>
  <c r="L32" i="7"/>
  <c r="H30" i="8"/>
  <c r="J29" i="8"/>
  <c r="I29" i="8"/>
  <c r="J30" i="9"/>
  <c r="H31" i="9"/>
  <c r="I30" i="9"/>
  <c r="E33" i="9"/>
  <c r="S32" i="9"/>
  <c r="AA30" i="3"/>
  <c r="L31" i="3"/>
  <c r="Z30" i="3"/>
  <c r="R30" i="3"/>
  <c r="S30" i="3"/>
  <c r="C30" i="5"/>
  <c r="B30" i="5"/>
  <c r="A31" i="5"/>
  <c r="C30" i="2"/>
  <c r="B30" i="2"/>
  <c r="A31" i="2"/>
  <c r="A31" i="1"/>
  <c r="C30" i="1"/>
  <c r="B30" i="1"/>
  <c r="B30" i="7"/>
  <c r="C30" i="7"/>
  <c r="A31" i="7"/>
  <c r="A32" i="5" l="1"/>
  <c r="C31" i="5"/>
  <c r="B31" i="5"/>
  <c r="R32" i="12"/>
  <c r="AA32" i="12"/>
  <c r="L33" i="12"/>
  <c r="Z32" i="12"/>
  <c r="S32" i="12"/>
  <c r="E34" i="9"/>
  <c r="S33" i="9"/>
  <c r="H31" i="3"/>
  <c r="J30" i="3"/>
  <c r="I30" i="3"/>
  <c r="R32" i="1"/>
  <c r="S32" i="1"/>
  <c r="AA32" i="1"/>
  <c r="L33" i="1"/>
  <c r="Z32" i="1"/>
  <c r="B31" i="7"/>
  <c r="A32" i="7"/>
  <c r="C31" i="7"/>
  <c r="H31" i="8"/>
  <c r="J30" i="8"/>
  <c r="I30" i="8"/>
  <c r="AA32" i="4"/>
  <c r="L33" i="4"/>
  <c r="Z32" i="4"/>
  <c r="S32" i="4"/>
  <c r="R32" i="4"/>
  <c r="A31" i="6"/>
  <c r="C30" i="6"/>
  <c r="B30" i="6"/>
  <c r="H32" i="12"/>
  <c r="J31" i="12"/>
  <c r="I31" i="12"/>
  <c r="J31" i="6"/>
  <c r="I31" i="6"/>
  <c r="H32" i="6"/>
  <c r="J31" i="11"/>
  <c r="I31" i="11"/>
  <c r="H32" i="11"/>
  <c r="C31" i="12"/>
  <c r="B31" i="12"/>
  <c r="A32" i="12"/>
  <c r="A32" i="4"/>
  <c r="C31" i="4"/>
  <c r="B31" i="4"/>
  <c r="C30" i="3"/>
  <c r="B30" i="3"/>
  <c r="A31" i="3"/>
  <c r="AA32" i="7"/>
  <c r="L33" i="7"/>
  <c r="Z32" i="7"/>
  <c r="S32" i="7"/>
  <c r="R32" i="7"/>
  <c r="H32" i="10"/>
  <c r="I31" i="10"/>
  <c r="J31" i="10"/>
  <c r="AA32" i="8"/>
  <c r="Z32" i="8"/>
  <c r="R32" i="8"/>
  <c r="L33" i="8"/>
  <c r="S32" i="8"/>
  <c r="S31" i="3"/>
  <c r="R31" i="3"/>
  <c r="Z31" i="3"/>
  <c r="L32" i="3"/>
  <c r="AA31" i="3"/>
  <c r="S32" i="10"/>
  <c r="L33" i="10"/>
  <c r="Z32" i="10"/>
  <c r="AA32" i="10"/>
  <c r="R32" i="10"/>
  <c r="J31" i="4"/>
  <c r="I31" i="4"/>
  <c r="H32" i="4"/>
  <c r="A33" i="9"/>
  <c r="C32" i="9"/>
  <c r="B32" i="9"/>
  <c r="C31" i="1"/>
  <c r="B31" i="1"/>
  <c r="A32" i="1"/>
  <c r="H32" i="5"/>
  <c r="J31" i="5"/>
  <c r="I31" i="5"/>
  <c r="C31" i="8"/>
  <c r="A32" i="8"/>
  <c r="B31" i="8"/>
  <c r="B31" i="10"/>
  <c r="A32" i="10"/>
  <c r="C31" i="10"/>
  <c r="A32" i="2"/>
  <c r="C31" i="2"/>
  <c r="B31" i="2"/>
  <c r="H32" i="1"/>
  <c r="J31" i="1"/>
  <c r="I31" i="1"/>
  <c r="AA31" i="6"/>
  <c r="L32" i="6"/>
  <c r="Z31" i="6"/>
  <c r="S31" i="6"/>
  <c r="R31" i="6"/>
  <c r="A32" i="11"/>
  <c r="C31" i="11"/>
  <c r="B31" i="11"/>
  <c r="AA33" i="2"/>
  <c r="L34" i="2"/>
  <c r="Z33" i="2"/>
  <c r="S33" i="2"/>
  <c r="R33" i="2"/>
  <c r="AA32" i="5"/>
  <c r="Z32" i="5"/>
  <c r="S32" i="5"/>
  <c r="L33" i="5"/>
  <c r="R32" i="5"/>
  <c r="H32" i="9"/>
  <c r="J31" i="9"/>
  <c r="I31" i="9"/>
  <c r="H32" i="2"/>
  <c r="J31" i="2"/>
  <c r="I31" i="2"/>
  <c r="AA32" i="11"/>
  <c r="L33" i="11"/>
  <c r="Z32" i="11"/>
  <c r="S32" i="11"/>
  <c r="R32" i="11"/>
  <c r="J31" i="7"/>
  <c r="I31" i="7"/>
  <c r="H32" i="7"/>
  <c r="J32" i="2" l="1"/>
  <c r="I32" i="2"/>
  <c r="H33" i="2"/>
  <c r="AA34" i="2"/>
  <c r="L35" i="2"/>
  <c r="Z34" i="2"/>
  <c r="S34" i="2"/>
  <c r="R34" i="2"/>
  <c r="H33" i="1"/>
  <c r="J32" i="1"/>
  <c r="I32" i="1"/>
  <c r="I32" i="5"/>
  <c r="H33" i="5"/>
  <c r="J32" i="5"/>
  <c r="H32" i="3"/>
  <c r="I31" i="3"/>
  <c r="J31" i="3"/>
  <c r="J31" i="8"/>
  <c r="H32" i="8"/>
  <c r="I31" i="8"/>
  <c r="A33" i="1"/>
  <c r="C32" i="1"/>
  <c r="B32" i="1"/>
  <c r="J32" i="7"/>
  <c r="H33" i="7"/>
  <c r="I32" i="7"/>
  <c r="C32" i="4"/>
  <c r="B32" i="4"/>
  <c r="A33" i="4"/>
  <c r="H33" i="12"/>
  <c r="J32" i="12"/>
  <c r="I32" i="12"/>
  <c r="E35" i="9"/>
  <c r="S34" i="9"/>
  <c r="L34" i="10"/>
  <c r="Z33" i="10"/>
  <c r="S33" i="10"/>
  <c r="AA33" i="10"/>
  <c r="R33" i="10"/>
  <c r="H33" i="9"/>
  <c r="J32" i="9"/>
  <c r="I32" i="9"/>
  <c r="A33" i="2"/>
  <c r="C32" i="2"/>
  <c r="B32" i="2"/>
  <c r="H33" i="10"/>
  <c r="J32" i="10"/>
  <c r="I32" i="10"/>
  <c r="A33" i="12"/>
  <c r="C32" i="12"/>
  <c r="B32" i="12"/>
  <c r="C32" i="7"/>
  <c r="B32" i="7"/>
  <c r="A33" i="7"/>
  <c r="C32" i="11"/>
  <c r="B32" i="11"/>
  <c r="A33" i="11"/>
  <c r="L33" i="3"/>
  <c r="Z32" i="3"/>
  <c r="S32" i="3"/>
  <c r="R32" i="3"/>
  <c r="AA32" i="3"/>
  <c r="L34" i="5"/>
  <c r="Z33" i="5"/>
  <c r="S33" i="5"/>
  <c r="R33" i="5"/>
  <c r="AA33" i="5"/>
  <c r="A33" i="10"/>
  <c r="C32" i="10"/>
  <c r="B32" i="10"/>
  <c r="A32" i="6"/>
  <c r="C31" i="6"/>
  <c r="B31" i="6"/>
  <c r="AA33" i="12"/>
  <c r="L34" i="12"/>
  <c r="Z33" i="12"/>
  <c r="S33" i="12"/>
  <c r="R33" i="12"/>
  <c r="B33" i="9"/>
  <c r="C33" i="9"/>
  <c r="A34" i="9"/>
  <c r="H33" i="11"/>
  <c r="J32" i="11"/>
  <c r="I32" i="11"/>
  <c r="AA33" i="1"/>
  <c r="L34" i="1"/>
  <c r="Z33" i="1"/>
  <c r="S33" i="1"/>
  <c r="R33" i="1"/>
  <c r="H33" i="4"/>
  <c r="J32" i="4"/>
  <c r="I32" i="4"/>
  <c r="AA33" i="7"/>
  <c r="Z33" i="7"/>
  <c r="S33" i="7"/>
  <c r="R33" i="7"/>
  <c r="L34" i="7"/>
  <c r="R33" i="11"/>
  <c r="AA33" i="11"/>
  <c r="L34" i="11"/>
  <c r="Z33" i="11"/>
  <c r="S33" i="11"/>
  <c r="AA32" i="6"/>
  <c r="L33" i="6"/>
  <c r="Z32" i="6"/>
  <c r="S32" i="6"/>
  <c r="R32" i="6"/>
  <c r="B32" i="8"/>
  <c r="A33" i="8"/>
  <c r="C32" i="8"/>
  <c r="AA33" i="8"/>
  <c r="Z33" i="8"/>
  <c r="L34" i="8"/>
  <c r="S33" i="8"/>
  <c r="R33" i="8"/>
  <c r="A32" i="3"/>
  <c r="C31" i="3"/>
  <c r="B31" i="3"/>
  <c r="H33" i="6"/>
  <c r="J32" i="6"/>
  <c r="I32" i="6"/>
  <c r="AA33" i="4"/>
  <c r="L34" i="4"/>
  <c r="Z33" i="4"/>
  <c r="S33" i="4"/>
  <c r="R33" i="4"/>
  <c r="A33" i="5"/>
  <c r="C32" i="5"/>
  <c r="B32" i="5"/>
  <c r="AA34" i="10" l="1"/>
  <c r="S34" i="10"/>
  <c r="R34" i="10"/>
  <c r="L35" i="10"/>
  <c r="Z34" i="10"/>
  <c r="AA33" i="3"/>
  <c r="L34" i="3"/>
  <c r="Z33" i="3"/>
  <c r="S33" i="3"/>
  <c r="R33" i="3"/>
  <c r="J33" i="10"/>
  <c r="H34" i="10"/>
  <c r="I33" i="10"/>
  <c r="B33" i="11"/>
  <c r="C33" i="11"/>
  <c r="A34" i="11"/>
  <c r="E36" i="9"/>
  <c r="S35" i="9"/>
  <c r="A34" i="1"/>
  <c r="C33" i="1"/>
  <c r="B33" i="1"/>
  <c r="I33" i="1"/>
  <c r="H34" i="1"/>
  <c r="J33" i="1"/>
  <c r="C32" i="6"/>
  <c r="B32" i="6"/>
  <c r="A33" i="6"/>
  <c r="B34" i="9"/>
  <c r="A35" i="9"/>
  <c r="C34" i="9"/>
  <c r="A34" i="5"/>
  <c r="C33" i="5"/>
  <c r="B33" i="5"/>
  <c r="B33" i="2"/>
  <c r="C33" i="2"/>
  <c r="A34" i="2"/>
  <c r="H33" i="8"/>
  <c r="I32" i="8"/>
  <c r="J32" i="8"/>
  <c r="H34" i="11"/>
  <c r="J33" i="11"/>
  <c r="I33" i="11"/>
  <c r="A33" i="3"/>
  <c r="C32" i="3"/>
  <c r="B32" i="3"/>
  <c r="H34" i="4"/>
  <c r="J33" i="4"/>
  <c r="I33" i="4"/>
  <c r="A34" i="7"/>
  <c r="C33" i="7"/>
  <c r="B33" i="7"/>
  <c r="I33" i="12"/>
  <c r="H34" i="12"/>
  <c r="J33" i="12"/>
  <c r="A34" i="4"/>
  <c r="C33" i="4"/>
  <c r="B33" i="4"/>
  <c r="AA35" i="2"/>
  <c r="L36" i="2"/>
  <c r="Z35" i="2"/>
  <c r="S35" i="2"/>
  <c r="R35" i="2"/>
  <c r="AA34" i="11"/>
  <c r="S34" i="11"/>
  <c r="R34" i="11"/>
  <c r="Z34" i="11"/>
  <c r="L35" i="11"/>
  <c r="J33" i="9"/>
  <c r="I33" i="9"/>
  <c r="H34" i="9"/>
  <c r="H34" i="6"/>
  <c r="J33" i="6"/>
  <c r="I33" i="6"/>
  <c r="AA34" i="5"/>
  <c r="Z34" i="5"/>
  <c r="S34" i="5"/>
  <c r="R34" i="5"/>
  <c r="L35" i="5"/>
  <c r="J32" i="3"/>
  <c r="I32" i="3"/>
  <c r="H33" i="3"/>
  <c r="H34" i="2"/>
  <c r="J33" i="2"/>
  <c r="I33" i="2"/>
  <c r="AA33" i="6"/>
  <c r="L34" i="6"/>
  <c r="Z33" i="6"/>
  <c r="S33" i="6"/>
  <c r="R33" i="6"/>
  <c r="AA34" i="4"/>
  <c r="L35" i="4"/>
  <c r="Z34" i="4"/>
  <c r="S34" i="4"/>
  <c r="R34" i="4"/>
  <c r="L35" i="12"/>
  <c r="Z34" i="12"/>
  <c r="S34" i="12"/>
  <c r="R34" i="12"/>
  <c r="AA34" i="12"/>
  <c r="L35" i="1"/>
  <c r="Z34" i="1"/>
  <c r="AA34" i="1"/>
  <c r="S34" i="1"/>
  <c r="R34" i="1"/>
  <c r="C33" i="10"/>
  <c r="B33" i="10"/>
  <c r="A34" i="10"/>
  <c r="S34" i="8"/>
  <c r="R34" i="8"/>
  <c r="AA34" i="8"/>
  <c r="Z34" i="8"/>
  <c r="L35" i="8"/>
  <c r="B33" i="8"/>
  <c r="A34" i="8"/>
  <c r="C33" i="8"/>
  <c r="R34" i="7"/>
  <c r="AA34" i="7"/>
  <c r="Z34" i="7"/>
  <c r="S34" i="7"/>
  <c r="L35" i="7"/>
  <c r="A34" i="12"/>
  <c r="C33" i="12"/>
  <c r="B33" i="12"/>
  <c r="H34" i="7"/>
  <c r="J33" i="7"/>
  <c r="I33" i="7"/>
  <c r="H34" i="5"/>
  <c r="J33" i="5"/>
  <c r="I33" i="5"/>
  <c r="B34" i="10" l="1"/>
  <c r="C34" i="10"/>
  <c r="A35" i="10"/>
  <c r="AA35" i="12"/>
  <c r="L36" i="12"/>
  <c r="Z35" i="12"/>
  <c r="S35" i="12"/>
  <c r="R35" i="12"/>
  <c r="H35" i="6"/>
  <c r="J34" i="6"/>
  <c r="I34" i="6"/>
  <c r="R36" i="2"/>
  <c r="S36" i="2"/>
  <c r="AA36" i="2"/>
  <c r="L37" i="2"/>
  <c r="Z36" i="2"/>
  <c r="H35" i="1"/>
  <c r="J34" i="1"/>
  <c r="I34" i="1"/>
  <c r="S35" i="7"/>
  <c r="R35" i="7"/>
  <c r="AA35" i="7"/>
  <c r="Z35" i="7"/>
  <c r="L36" i="7"/>
  <c r="J34" i="2"/>
  <c r="I34" i="2"/>
  <c r="H35" i="2"/>
  <c r="J34" i="9"/>
  <c r="I34" i="9"/>
  <c r="H35" i="9"/>
  <c r="H35" i="4"/>
  <c r="J34" i="4"/>
  <c r="I34" i="4"/>
  <c r="H34" i="3"/>
  <c r="J33" i="3"/>
  <c r="I33" i="3"/>
  <c r="A35" i="2"/>
  <c r="C34" i="2"/>
  <c r="B34" i="2"/>
  <c r="S35" i="4"/>
  <c r="R35" i="4"/>
  <c r="AA35" i="4"/>
  <c r="L36" i="4"/>
  <c r="Z35" i="4"/>
  <c r="L36" i="11"/>
  <c r="Z35" i="11"/>
  <c r="S35" i="11"/>
  <c r="R35" i="11"/>
  <c r="AA35" i="11"/>
  <c r="C34" i="4"/>
  <c r="B34" i="4"/>
  <c r="A35" i="4"/>
  <c r="B33" i="3"/>
  <c r="A34" i="3"/>
  <c r="C33" i="3"/>
  <c r="A35" i="5"/>
  <c r="C34" i="5"/>
  <c r="B34" i="5"/>
  <c r="B34" i="1"/>
  <c r="A35" i="1"/>
  <c r="C34" i="1"/>
  <c r="AA34" i="3"/>
  <c r="L35" i="3"/>
  <c r="Z34" i="3"/>
  <c r="S34" i="3"/>
  <c r="R34" i="3"/>
  <c r="A35" i="8"/>
  <c r="C34" i="8"/>
  <c r="B34" i="8"/>
  <c r="AA35" i="5"/>
  <c r="L36" i="5"/>
  <c r="Z35" i="5"/>
  <c r="S35" i="5"/>
  <c r="R35" i="5"/>
  <c r="H35" i="12"/>
  <c r="J34" i="12"/>
  <c r="I34" i="12"/>
  <c r="A36" i="9"/>
  <c r="C35" i="9"/>
  <c r="B35" i="9"/>
  <c r="E37" i="9"/>
  <c r="S36" i="9"/>
  <c r="J34" i="10"/>
  <c r="H35" i="10"/>
  <c r="I34" i="10"/>
  <c r="H35" i="5"/>
  <c r="J34" i="5"/>
  <c r="I34" i="5"/>
  <c r="H35" i="7"/>
  <c r="J34" i="7"/>
  <c r="I34" i="7"/>
  <c r="R35" i="8"/>
  <c r="S35" i="8"/>
  <c r="L36" i="8"/>
  <c r="AA35" i="8"/>
  <c r="Z35" i="8"/>
  <c r="AA35" i="1"/>
  <c r="L36" i="1"/>
  <c r="Z35" i="1"/>
  <c r="S35" i="1"/>
  <c r="R35" i="1"/>
  <c r="I34" i="11"/>
  <c r="J34" i="11"/>
  <c r="H35" i="11"/>
  <c r="A35" i="11"/>
  <c r="C34" i="11"/>
  <c r="B34" i="11"/>
  <c r="AA35" i="10"/>
  <c r="S35" i="10"/>
  <c r="R35" i="10"/>
  <c r="Z35" i="10"/>
  <c r="L36" i="10"/>
  <c r="A34" i="6"/>
  <c r="C33" i="6"/>
  <c r="B33" i="6"/>
  <c r="AA34" i="6"/>
  <c r="L35" i="6"/>
  <c r="Z34" i="6"/>
  <c r="S34" i="6"/>
  <c r="R34" i="6"/>
  <c r="A35" i="12"/>
  <c r="C34" i="12"/>
  <c r="B34" i="12"/>
  <c r="C34" i="7"/>
  <c r="B34" i="7"/>
  <c r="A35" i="7"/>
  <c r="H34" i="8"/>
  <c r="J33" i="8"/>
  <c r="I33" i="8"/>
  <c r="S36" i="5" l="1"/>
  <c r="L37" i="5"/>
  <c r="AA36" i="5"/>
  <c r="Z36" i="5"/>
  <c r="R36" i="5"/>
  <c r="J34" i="3"/>
  <c r="I34" i="3"/>
  <c r="H35" i="3"/>
  <c r="E38" i="9"/>
  <c r="S37" i="9"/>
  <c r="AA36" i="11"/>
  <c r="L37" i="11"/>
  <c r="Z36" i="11"/>
  <c r="R36" i="11"/>
  <c r="S36" i="11"/>
  <c r="H36" i="6"/>
  <c r="J35" i="6"/>
  <c r="I35" i="6"/>
  <c r="L37" i="7"/>
  <c r="Z36" i="7"/>
  <c r="AA36" i="7"/>
  <c r="S36" i="7"/>
  <c r="R36" i="7"/>
  <c r="C35" i="5"/>
  <c r="B35" i="5"/>
  <c r="A36" i="5"/>
  <c r="AA36" i="8"/>
  <c r="L37" i="8"/>
  <c r="Z36" i="8"/>
  <c r="S36" i="8"/>
  <c r="R36" i="8"/>
  <c r="A36" i="11"/>
  <c r="C35" i="11"/>
  <c r="B35" i="11"/>
  <c r="H35" i="8"/>
  <c r="J34" i="8"/>
  <c r="I34" i="8"/>
  <c r="A36" i="8"/>
  <c r="B35" i="8"/>
  <c r="C35" i="8"/>
  <c r="AA36" i="4"/>
  <c r="L37" i="4"/>
  <c r="Z36" i="4"/>
  <c r="S36" i="4"/>
  <c r="R36" i="4"/>
  <c r="H36" i="4"/>
  <c r="J35" i="4"/>
  <c r="I35" i="4"/>
  <c r="J35" i="10"/>
  <c r="I35" i="10"/>
  <c r="H36" i="10"/>
  <c r="S35" i="6"/>
  <c r="R35" i="6"/>
  <c r="AA35" i="6"/>
  <c r="Z35" i="6"/>
  <c r="L36" i="6"/>
  <c r="H36" i="11"/>
  <c r="J35" i="11"/>
  <c r="I35" i="11"/>
  <c r="A36" i="7"/>
  <c r="C35" i="7"/>
  <c r="B35" i="7"/>
  <c r="B36" i="9"/>
  <c r="A37" i="9"/>
  <c r="C36" i="9"/>
  <c r="A35" i="3"/>
  <c r="C34" i="3"/>
  <c r="B34" i="3"/>
  <c r="J35" i="9"/>
  <c r="I35" i="9"/>
  <c r="H36" i="9"/>
  <c r="A36" i="1"/>
  <c r="C35" i="1"/>
  <c r="B35" i="1"/>
  <c r="I35" i="7"/>
  <c r="H36" i="7"/>
  <c r="J35" i="7"/>
  <c r="J35" i="1"/>
  <c r="I35" i="1"/>
  <c r="H36" i="1"/>
  <c r="AA36" i="12"/>
  <c r="L37" i="12"/>
  <c r="Z36" i="12"/>
  <c r="S36" i="12"/>
  <c r="R36" i="12"/>
  <c r="AA36" i="10"/>
  <c r="L37" i="10"/>
  <c r="Z36" i="10"/>
  <c r="S36" i="10"/>
  <c r="R36" i="10"/>
  <c r="J35" i="12"/>
  <c r="I35" i="12"/>
  <c r="H36" i="12"/>
  <c r="AA35" i="3"/>
  <c r="L36" i="3"/>
  <c r="Z35" i="3"/>
  <c r="S35" i="3"/>
  <c r="R35" i="3"/>
  <c r="H36" i="2"/>
  <c r="J35" i="2"/>
  <c r="I35" i="2"/>
  <c r="AA37" i="2"/>
  <c r="L38" i="2"/>
  <c r="Z37" i="2"/>
  <c r="S37" i="2"/>
  <c r="R37" i="2"/>
  <c r="A36" i="10"/>
  <c r="C35" i="10"/>
  <c r="B35" i="10"/>
  <c r="C34" i="6"/>
  <c r="B34" i="6"/>
  <c r="A35" i="6"/>
  <c r="A36" i="4"/>
  <c r="C35" i="4"/>
  <c r="B35" i="4"/>
  <c r="AA36" i="1"/>
  <c r="L37" i="1"/>
  <c r="Z36" i="1"/>
  <c r="S36" i="1"/>
  <c r="R36" i="1"/>
  <c r="J35" i="5"/>
  <c r="I35" i="5"/>
  <c r="H36" i="5"/>
  <c r="A36" i="12"/>
  <c r="C35" i="12"/>
  <c r="B35" i="12"/>
  <c r="C35" i="2"/>
  <c r="B35" i="2"/>
  <c r="A36" i="2"/>
  <c r="R36" i="3" l="1"/>
  <c r="AA36" i="3"/>
  <c r="S36" i="3"/>
  <c r="Z36" i="3"/>
  <c r="L37" i="3"/>
  <c r="H37" i="9"/>
  <c r="J36" i="9"/>
  <c r="I36" i="9"/>
  <c r="J35" i="8"/>
  <c r="I35" i="8"/>
  <c r="H36" i="8"/>
  <c r="J36" i="4"/>
  <c r="I36" i="4"/>
  <c r="H37" i="4"/>
  <c r="H37" i="12"/>
  <c r="J36" i="12"/>
  <c r="I36" i="12"/>
  <c r="J36" i="11"/>
  <c r="I36" i="11"/>
  <c r="H37" i="11"/>
  <c r="E39" i="9"/>
  <c r="S38" i="9"/>
  <c r="H37" i="1"/>
  <c r="J36" i="1"/>
  <c r="I36" i="1"/>
  <c r="AA36" i="6"/>
  <c r="L37" i="6"/>
  <c r="Z36" i="6"/>
  <c r="S36" i="6"/>
  <c r="R36" i="6"/>
  <c r="A37" i="11"/>
  <c r="B36" i="11"/>
  <c r="C36" i="11"/>
  <c r="H36" i="3"/>
  <c r="J35" i="3"/>
  <c r="I35" i="3"/>
  <c r="C36" i="1"/>
  <c r="B36" i="1"/>
  <c r="A37" i="1"/>
  <c r="A37" i="2"/>
  <c r="C36" i="2"/>
  <c r="B36" i="2"/>
  <c r="L39" i="2"/>
  <c r="Z38" i="2"/>
  <c r="S38" i="2"/>
  <c r="R38" i="2"/>
  <c r="AA38" i="2"/>
  <c r="AA37" i="7"/>
  <c r="L38" i="7"/>
  <c r="Z37" i="7"/>
  <c r="S37" i="7"/>
  <c r="R37" i="7"/>
  <c r="A37" i="7"/>
  <c r="C36" i="7"/>
  <c r="B36" i="7"/>
  <c r="C35" i="3"/>
  <c r="B35" i="3"/>
  <c r="A36" i="3"/>
  <c r="AA37" i="4"/>
  <c r="L38" i="4"/>
  <c r="Z37" i="4"/>
  <c r="S37" i="4"/>
  <c r="R37" i="4"/>
  <c r="B36" i="10"/>
  <c r="A37" i="10"/>
  <c r="C36" i="10"/>
  <c r="AA37" i="12"/>
  <c r="L38" i="12"/>
  <c r="Z37" i="12"/>
  <c r="S37" i="12"/>
  <c r="R37" i="12"/>
  <c r="AA37" i="1"/>
  <c r="R37" i="1"/>
  <c r="L38" i="1"/>
  <c r="Z37" i="1"/>
  <c r="S37" i="1"/>
  <c r="A37" i="4"/>
  <c r="C36" i="4"/>
  <c r="B36" i="4"/>
  <c r="AA37" i="11"/>
  <c r="L38" i="11"/>
  <c r="Z37" i="11"/>
  <c r="S37" i="11"/>
  <c r="R37" i="11"/>
  <c r="C36" i="12"/>
  <c r="B36" i="12"/>
  <c r="A37" i="12"/>
  <c r="A36" i="6"/>
  <c r="C35" i="6"/>
  <c r="B35" i="6"/>
  <c r="J36" i="7"/>
  <c r="I36" i="7"/>
  <c r="H37" i="7"/>
  <c r="A38" i="9"/>
  <c r="C37" i="9"/>
  <c r="B37" i="9"/>
  <c r="L38" i="8"/>
  <c r="Z37" i="8"/>
  <c r="AA37" i="8"/>
  <c r="S37" i="8"/>
  <c r="R37" i="8"/>
  <c r="J36" i="6"/>
  <c r="I36" i="6"/>
  <c r="H37" i="6"/>
  <c r="H37" i="5"/>
  <c r="J36" i="5"/>
  <c r="I36" i="5"/>
  <c r="H37" i="2"/>
  <c r="J36" i="2"/>
  <c r="I36" i="2"/>
  <c r="R37" i="10"/>
  <c r="AA37" i="10"/>
  <c r="L38" i="10"/>
  <c r="Z37" i="10"/>
  <c r="S37" i="10"/>
  <c r="H37" i="10"/>
  <c r="J36" i="10"/>
  <c r="I36" i="10"/>
  <c r="A37" i="8"/>
  <c r="B36" i="8"/>
  <c r="C36" i="8"/>
  <c r="A37" i="5"/>
  <c r="C36" i="5"/>
  <c r="B36" i="5"/>
  <c r="AA37" i="5"/>
  <c r="L38" i="5"/>
  <c r="Z37" i="5"/>
  <c r="S37" i="5"/>
  <c r="R37" i="5"/>
  <c r="H38" i="1" l="1"/>
  <c r="J37" i="1"/>
  <c r="I37" i="1"/>
  <c r="I36" i="8"/>
  <c r="H37" i="8"/>
  <c r="J36" i="8"/>
  <c r="H37" i="3"/>
  <c r="J36" i="3"/>
  <c r="I36" i="3"/>
  <c r="S39" i="9"/>
  <c r="E40" i="9"/>
  <c r="AA38" i="12"/>
  <c r="L39" i="12"/>
  <c r="Z38" i="12"/>
  <c r="S38" i="12"/>
  <c r="R38" i="12"/>
  <c r="I37" i="11"/>
  <c r="H38" i="11"/>
  <c r="J37" i="11"/>
  <c r="A37" i="3"/>
  <c r="C36" i="3"/>
  <c r="B36" i="3"/>
  <c r="AA38" i="4"/>
  <c r="L39" i="4"/>
  <c r="Z38" i="4"/>
  <c r="S38" i="4"/>
  <c r="R38" i="4"/>
  <c r="C38" i="9"/>
  <c r="A39" i="9"/>
  <c r="B38" i="9"/>
  <c r="AA39" i="2"/>
  <c r="L40" i="2"/>
  <c r="Z39" i="2"/>
  <c r="S39" i="2"/>
  <c r="R39" i="2"/>
  <c r="I37" i="9"/>
  <c r="H38" i="9"/>
  <c r="J37" i="9"/>
  <c r="I37" i="2"/>
  <c r="H38" i="2"/>
  <c r="J37" i="2"/>
  <c r="A38" i="8"/>
  <c r="C37" i="8"/>
  <c r="B37" i="8"/>
  <c r="J37" i="7"/>
  <c r="I37" i="7"/>
  <c r="H38" i="7"/>
  <c r="AA38" i="5"/>
  <c r="L39" i="5"/>
  <c r="Z38" i="5"/>
  <c r="S38" i="5"/>
  <c r="R38" i="5"/>
  <c r="S38" i="10"/>
  <c r="R38" i="10"/>
  <c r="L39" i="10"/>
  <c r="AA38" i="10"/>
  <c r="Z38" i="10"/>
  <c r="B37" i="4"/>
  <c r="A38" i="4"/>
  <c r="C37" i="4"/>
  <c r="B37" i="10"/>
  <c r="C37" i="10"/>
  <c r="A38" i="10"/>
  <c r="B37" i="7"/>
  <c r="A38" i="7"/>
  <c r="C37" i="7"/>
  <c r="AA37" i="3"/>
  <c r="L38" i="3"/>
  <c r="Z37" i="3"/>
  <c r="S37" i="3"/>
  <c r="R37" i="3"/>
  <c r="C37" i="11"/>
  <c r="B37" i="11"/>
  <c r="A38" i="11"/>
  <c r="A37" i="6"/>
  <c r="C36" i="6"/>
  <c r="B36" i="6"/>
  <c r="A38" i="2"/>
  <c r="C37" i="2"/>
  <c r="B37" i="2"/>
  <c r="J37" i="5"/>
  <c r="H38" i="5"/>
  <c r="I37" i="5"/>
  <c r="H38" i="6"/>
  <c r="J37" i="6"/>
  <c r="I37" i="6"/>
  <c r="A38" i="1"/>
  <c r="C37" i="1"/>
  <c r="B37" i="1"/>
  <c r="AA37" i="6"/>
  <c r="L38" i="6"/>
  <c r="Z37" i="6"/>
  <c r="S37" i="6"/>
  <c r="R37" i="6"/>
  <c r="H38" i="12"/>
  <c r="J37" i="12"/>
  <c r="I37" i="12"/>
  <c r="L39" i="11"/>
  <c r="Z38" i="11"/>
  <c r="S38" i="11"/>
  <c r="R38" i="11"/>
  <c r="AA38" i="11"/>
  <c r="J37" i="10"/>
  <c r="I37" i="10"/>
  <c r="H38" i="10"/>
  <c r="A38" i="12"/>
  <c r="C37" i="12"/>
  <c r="B37" i="12"/>
  <c r="A38" i="5"/>
  <c r="C37" i="5"/>
  <c r="B37" i="5"/>
  <c r="AA38" i="1"/>
  <c r="L39" i="1"/>
  <c r="Z38" i="1"/>
  <c r="S38" i="1"/>
  <c r="R38" i="1"/>
  <c r="H38" i="4"/>
  <c r="J37" i="4"/>
  <c r="I37" i="4"/>
  <c r="Z38" i="8"/>
  <c r="L39" i="8"/>
  <c r="S38" i="8"/>
  <c r="R38" i="8"/>
  <c r="AA38" i="8"/>
  <c r="AA38" i="7"/>
  <c r="Z38" i="7"/>
  <c r="S38" i="7"/>
  <c r="R38" i="7"/>
  <c r="L39" i="7"/>
  <c r="H39" i="12" l="1"/>
  <c r="J38" i="12"/>
  <c r="I38" i="12"/>
  <c r="A39" i="4"/>
  <c r="C38" i="4"/>
  <c r="B38" i="4"/>
  <c r="J38" i="7"/>
  <c r="I38" i="7"/>
  <c r="H39" i="7"/>
  <c r="E41" i="9"/>
  <c r="S40" i="9"/>
  <c r="I38" i="10"/>
  <c r="J38" i="10"/>
  <c r="H39" i="10"/>
  <c r="H39" i="5"/>
  <c r="J38" i="5"/>
  <c r="I38" i="5"/>
  <c r="L39" i="3"/>
  <c r="Z38" i="3"/>
  <c r="S38" i="3"/>
  <c r="R38" i="3"/>
  <c r="AA38" i="3"/>
  <c r="AA40" i="2"/>
  <c r="L41" i="2"/>
  <c r="Z40" i="2"/>
  <c r="S40" i="2"/>
  <c r="R40" i="2"/>
  <c r="A38" i="3"/>
  <c r="C37" i="3"/>
  <c r="B37" i="3"/>
  <c r="L40" i="10"/>
  <c r="Z39" i="10"/>
  <c r="R39" i="10"/>
  <c r="AA39" i="10"/>
  <c r="S39" i="10"/>
  <c r="I37" i="3"/>
  <c r="H38" i="3"/>
  <c r="J37" i="3"/>
  <c r="C38" i="12"/>
  <c r="B38" i="12"/>
  <c r="A39" i="12"/>
  <c r="B38" i="2"/>
  <c r="A39" i="2"/>
  <c r="C38" i="2"/>
  <c r="C38" i="8"/>
  <c r="A39" i="8"/>
  <c r="B38" i="8"/>
  <c r="H39" i="11"/>
  <c r="J38" i="11"/>
  <c r="I38" i="11"/>
  <c r="AA39" i="4"/>
  <c r="L40" i="4"/>
  <c r="Z39" i="4"/>
  <c r="S39" i="4"/>
  <c r="R39" i="4"/>
  <c r="J38" i="4"/>
  <c r="I38" i="4"/>
  <c r="H39" i="4"/>
  <c r="AA38" i="6"/>
  <c r="L39" i="6"/>
  <c r="Z38" i="6"/>
  <c r="S38" i="6"/>
  <c r="R38" i="6"/>
  <c r="S39" i="1"/>
  <c r="R39" i="1"/>
  <c r="L40" i="1"/>
  <c r="Z39" i="1"/>
  <c r="AA39" i="1"/>
  <c r="C38" i="7"/>
  <c r="A39" i="7"/>
  <c r="B38" i="7"/>
  <c r="A40" i="9"/>
  <c r="C39" i="9"/>
  <c r="B39" i="9"/>
  <c r="J37" i="8"/>
  <c r="H38" i="8"/>
  <c r="I37" i="8"/>
  <c r="AA39" i="7"/>
  <c r="L40" i="7"/>
  <c r="Z39" i="7"/>
  <c r="S39" i="7"/>
  <c r="R39" i="7"/>
  <c r="H39" i="2"/>
  <c r="J38" i="2"/>
  <c r="I38" i="2"/>
  <c r="C38" i="1"/>
  <c r="B38" i="1"/>
  <c r="A39" i="1"/>
  <c r="B37" i="6"/>
  <c r="A38" i="6"/>
  <c r="C37" i="6"/>
  <c r="A39" i="10"/>
  <c r="C38" i="10"/>
  <c r="B38" i="10"/>
  <c r="AA39" i="11"/>
  <c r="L40" i="11"/>
  <c r="Z39" i="11"/>
  <c r="R39" i="11"/>
  <c r="S39" i="11"/>
  <c r="A39" i="11"/>
  <c r="C38" i="11"/>
  <c r="B38" i="11"/>
  <c r="J38" i="6"/>
  <c r="I38" i="6"/>
  <c r="H39" i="6"/>
  <c r="R39" i="8"/>
  <c r="AA39" i="8"/>
  <c r="Z39" i="8"/>
  <c r="S39" i="8"/>
  <c r="L40" i="8"/>
  <c r="B38" i="5"/>
  <c r="C38" i="5"/>
  <c r="A39" i="5"/>
  <c r="S39" i="5"/>
  <c r="R39" i="5"/>
  <c r="AA39" i="5"/>
  <c r="Z39" i="5"/>
  <c r="L40" i="5"/>
  <c r="I38" i="9"/>
  <c r="H39" i="9"/>
  <c r="J38" i="9"/>
  <c r="S39" i="12"/>
  <c r="R39" i="12"/>
  <c r="AA39" i="12"/>
  <c r="L40" i="12"/>
  <c r="Z39" i="12"/>
  <c r="I38" i="1"/>
  <c r="H39" i="1"/>
  <c r="J38" i="1"/>
  <c r="H40" i="9" l="1"/>
  <c r="J39" i="9"/>
  <c r="I39" i="9"/>
  <c r="R41" i="2"/>
  <c r="AA41" i="2"/>
  <c r="L42" i="2"/>
  <c r="Z41" i="2"/>
  <c r="S41" i="2"/>
  <c r="C39" i="7"/>
  <c r="B39" i="7"/>
  <c r="A40" i="7"/>
  <c r="H40" i="4"/>
  <c r="J39" i="4"/>
  <c r="I39" i="4"/>
  <c r="C39" i="8"/>
  <c r="B39" i="8"/>
  <c r="A40" i="8"/>
  <c r="E42" i="9"/>
  <c r="S41" i="9"/>
  <c r="S40" i="11"/>
  <c r="R40" i="11"/>
  <c r="AA40" i="11"/>
  <c r="L41" i="11"/>
  <c r="Z40" i="11"/>
  <c r="H40" i="7"/>
  <c r="J39" i="7"/>
  <c r="I39" i="7"/>
  <c r="A40" i="10"/>
  <c r="C39" i="10"/>
  <c r="B39" i="10"/>
  <c r="A41" i="9"/>
  <c r="C40" i="9"/>
  <c r="B40" i="9"/>
  <c r="A40" i="2"/>
  <c r="C39" i="2"/>
  <c r="B39" i="2"/>
  <c r="AA40" i="10"/>
  <c r="L41" i="10"/>
  <c r="Z40" i="10"/>
  <c r="R40" i="10"/>
  <c r="S40" i="10"/>
  <c r="H40" i="1"/>
  <c r="J39" i="1"/>
  <c r="I39" i="1"/>
  <c r="A39" i="6"/>
  <c r="C38" i="6"/>
  <c r="B38" i="6"/>
  <c r="AA40" i="1"/>
  <c r="L41" i="1"/>
  <c r="Z40" i="1"/>
  <c r="S40" i="1"/>
  <c r="R40" i="1"/>
  <c r="AA39" i="3"/>
  <c r="L40" i="3"/>
  <c r="Z39" i="3"/>
  <c r="S39" i="3"/>
  <c r="R39" i="3"/>
  <c r="AA39" i="6"/>
  <c r="L40" i="6"/>
  <c r="Z39" i="6"/>
  <c r="S39" i="6"/>
  <c r="R39" i="6"/>
  <c r="AA40" i="12"/>
  <c r="L41" i="12"/>
  <c r="Z40" i="12"/>
  <c r="S40" i="12"/>
  <c r="R40" i="12"/>
  <c r="A40" i="5"/>
  <c r="C39" i="5"/>
  <c r="B39" i="5"/>
  <c r="A40" i="12"/>
  <c r="C39" i="12"/>
  <c r="B39" i="12"/>
  <c r="J39" i="2"/>
  <c r="I39" i="2"/>
  <c r="H40" i="2"/>
  <c r="AA40" i="5"/>
  <c r="L41" i="5"/>
  <c r="Z40" i="5"/>
  <c r="S40" i="5"/>
  <c r="R40" i="5"/>
  <c r="C39" i="11"/>
  <c r="B39" i="11"/>
  <c r="A40" i="11"/>
  <c r="A40" i="1"/>
  <c r="C39" i="1"/>
  <c r="B39" i="1"/>
  <c r="J38" i="8"/>
  <c r="I38" i="8"/>
  <c r="H39" i="8"/>
  <c r="R40" i="4"/>
  <c r="AA40" i="4"/>
  <c r="L41" i="4"/>
  <c r="Z40" i="4"/>
  <c r="S40" i="4"/>
  <c r="A39" i="3"/>
  <c r="B38" i="3"/>
  <c r="C38" i="3"/>
  <c r="C39" i="4"/>
  <c r="B39" i="4"/>
  <c r="A40" i="4"/>
  <c r="H40" i="11"/>
  <c r="J39" i="11"/>
  <c r="I39" i="11"/>
  <c r="H40" i="6"/>
  <c r="J39" i="6"/>
  <c r="I39" i="6"/>
  <c r="R40" i="7"/>
  <c r="AA40" i="7"/>
  <c r="Z40" i="7"/>
  <c r="S40" i="7"/>
  <c r="L41" i="7"/>
  <c r="J39" i="5"/>
  <c r="I39" i="5"/>
  <c r="H40" i="5"/>
  <c r="AA40" i="8"/>
  <c r="Z40" i="8"/>
  <c r="S40" i="8"/>
  <c r="L41" i="8"/>
  <c r="R40" i="8"/>
  <c r="H40" i="10"/>
  <c r="J39" i="10"/>
  <c r="I39" i="10"/>
  <c r="H39" i="3"/>
  <c r="J38" i="3"/>
  <c r="I38" i="3"/>
  <c r="H40" i="12"/>
  <c r="J39" i="12"/>
  <c r="I39" i="12"/>
  <c r="H41" i="4" l="1"/>
  <c r="J40" i="4"/>
  <c r="I40" i="4"/>
  <c r="L42" i="8"/>
  <c r="Z41" i="8"/>
  <c r="S41" i="8"/>
  <c r="R41" i="8"/>
  <c r="AA41" i="8"/>
  <c r="A41" i="12"/>
  <c r="C40" i="12"/>
  <c r="B40" i="12"/>
  <c r="R40" i="6"/>
  <c r="AA40" i="6"/>
  <c r="L41" i="6"/>
  <c r="Z40" i="6"/>
  <c r="S40" i="6"/>
  <c r="L42" i="11"/>
  <c r="Z41" i="11"/>
  <c r="S41" i="11"/>
  <c r="AA41" i="11"/>
  <c r="R41" i="11"/>
  <c r="A41" i="7"/>
  <c r="C40" i="7"/>
  <c r="B40" i="7"/>
  <c r="A41" i="11"/>
  <c r="C40" i="11"/>
  <c r="B40" i="11"/>
  <c r="C40" i="2"/>
  <c r="B40" i="2"/>
  <c r="A41" i="2"/>
  <c r="A40" i="3"/>
  <c r="C39" i="3"/>
  <c r="B39" i="3"/>
  <c r="H41" i="6"/>
  <c r="J40" i="6"/>
  <c r="I40" i="6"/>
  <c r="AA41" i="4"/>
  <c r="L42" i="4"/>
  <c r="Z41" i="4"/>
  <c r="S41" i="4"/>
  <c r="R41" i="4"/>
  <c r="C39" i="6"/>
  <c r="B39" i="6"/>
  <c r="A40" i="6"/>
  <c r="C40" i="5"/>
  <c r="B40" i="5"/>
  <c r="A41" i="5"/>
  <c r="J40" i="12"/>
  <c r="I40" i="12"/>
  <c r="H41" i="12"/>
  <c r="H41" i="5"/>
  <c r="J40" i="5"/>
  <c r="I40" i="5"/>
  <c r="C41" i="9"/>
  <c r="A42" i="9"/>
  <c r="B41" i="9"/>
  <c r="H41" i="11"/>
  <c r="I40" i="11"/>
  <c r="J40" i="11"/>
  <c r="H40" i="8"/>
  <c r="J39" i="8"/>
  <c r="I39" i="8"/>
  <c r="R41" i="5"/>
  <c r="AA41" i="5"/>
  <c r="L42" i="5"/>
  <c r="Z41" i="5"/>
  <c r="S41" i="5"/>
  <c r="AA40" i="3"/>
  <c r="L41" i="3"/>
  <c r="Z40" i="3"/>
  <c r="S40" i="3"/>
  <c r="R40" i="3"/>
  <c r="J40" i="1"/>
  <c r="I40" i="1"/>
  <c r="H41" i="1"/>
  <c r="S42" i="9"/>
  <c r="E43" i="9"/>
  <c r="AA42" i="2"/>
  <c r="Z42" i="2"/>
  <c r="S42" i="2"/>
  <c r="R42" i="2"/>
  <c r="A41" i="4"/>
  <c r="C40" i="4"/>
  <c r="B40" i="4"/>
  <c r="A41" i="8"/>
  <c r="C40" i="8"/>
  <c r="B40" i="8"/>
  <c r="J39" i="3"/>
  <c r="I39" i="3"/>
  <c r="H40" i="3"/>
  <c r="S41" i="7"/>
  <c r="AA41" i="7"/>
  <c r="Z41" i="7"/>
  <c r="R41" i="7"/>
  <c r="L42" i="7"/>
  <c r="H41" i="2"/>
  <c r="J40" i="2"/>
  <c r="I40" i="2"/>
  <c r="AA41" i="12"/>
  <c r="L42" i="12"/>
  <c r="Z41" i="12"/>
  <c r="S41" i="12"/>
  <c r="R41" i="12"/>
  <c r="A41" i="10"/>
  <c r="B40" i="10"/>
  <c r="C40" i="10"/>
  <c r="L42" i="10"/>
  <c r="Z41" i="10"/>
  <c r="S41" i="10"/>
  <c r="R41" i="10"/>
  <c r="AA41" i="10"/>
  <c r="I40" i="10"/>
  <c r="H41" i="10"/>
  <c r="J40" i="10"/>
  <c r="A41" i="1"/>
  <c r="C40" i="1"/>
  <c r="B40" i="1"/>
  <c r="AA41" i="1"/>
  <c r="L42" i="1"/>
  <c r="Z41" i="1"/>
  <c r="S41" i="1"/>
  <c r="R41" i="1"/>
  <c r="H41" i="7"/>
  <c r="J40" i="7"/>
  <c r="I40" i="7"/>
  <c r="I40" i="9"/>
  <c r="J40" i="9"/>
  <c r="H41" i="9"/>
  <c r="H42" i="2" l="1"/>
  <c r="J41" i="2"/>
  <c r="I41" i="2"/>
  <c r="A42" i="5"/>
  <c r="C41" i="5"/>
  <c r="B41" i="5"/>
  <c r="I41" i="6"/>
  <c r="H42" i="6"/>
  <c r="J41" i="6"/>
  <c r="A42" i="7"/>
  <c r="C41" i="7"/>
  <c r="B41" i="7"/>
  <c r="AA41" i="3"/>
  <c r="L42" i="3"/>
  <c r="Z41" i="3"/>
  <c r="S41" i="3"/>
  <c r="R41" i="3"/>
  <c r="J41" i="11"/>
  <c r="I41" i="11"/>
  <c r="H42" i="11"/>
  <c r="B41" i="12"/>
  <c r="A42" i="12"/>
  <c r="C41" i="12"/>
  <c r="A41" i="6"/>
  <c r="C40" i="6"/>
  <c r="B40" i="6"/>
  <c r="AA42" i="1"/>
  <c r="L43" i="1"/>
  <c r="Z42" i="1"/>
  <c r="S42" i="1"/>
  <c r="R42" i="1"/>
  <c r="B41" i="1"/>
  <c r="C41" i="1"/>
  <c r="A42" i="1"/>
  <c r="C42" i="9"/>
  <c r="A43" i="9"/>
  <c r="B42" i="9"/>
  <c r="C40" i="3"/>
  <c r="B40" i="3"/>
  <c r="A41" i="3"/>
  <c r="L43" i="10"/>
  <c r="Z42" i="10"/>
  <c r="S42" i="10"/>
  <c r="R42" i="10"/>
  <c r="AA42" i="10"/>
  <c r="H41" i="3"/>
  <c r="J40" i="3"/>
  <c r="I40" i="3"/>
  <c r="A42" i="2"/>
  <c r="C41" i="2"/>
  <c r="B41" i="2"/>
  <c r="L43" i="7"/>
  <c r="Z42" i="7"/>
  <c r="S42" i="7"/>
  <c r="R42" i="7"/>
  <c r="AA42" i="7"/>
  <c r="I41" i="10"/>
  <c r="J41" i="10"/>
  <c r="H42" i="10"/>
  <c r="E44" i="9"/>
  <c r="S44" i="9" s="1"/>
  <c r="S43" i="9"/>
  <c r="AA42" i="5"/>
  <c r="L43" i="5"/>
  <c r="Z42" i="5"/>
  <c r="S42" i="5"/>
  <c r="R42" i="5"/>
  <c r="AA42" i="11"/>
  <c r="L43" i="11"/>
  <c r="Z42" i="11"/>
  <c r="S42" i="11"/>
  <c r="R42" i="11"/>
  <c r="A42" i="4"/>
  <c r="C41" i="4"/>
  <c r="B41" i="4"/>
  <c r="H42" i="9"/>
  <c r="J41" i="9"/>
  <c r="I41" i="9"/>
  <c r="S42" i="8"/>
  <c r="L43" i="8"/>
  <c r="AA42" i="8"/>
  <c r="Z42" i="8"/>
  <c r="R42" i="8"/>
  <c r="H42" i="7"/>
  <c r="I41" i="7"/>
  <c r="J41" i="7"/>
  <c r="H42" i="1"/>
  <c r="J41" i="1"/>
  <c r="I41" i="1"/>
  <c r="H42" i="5"/>
  <c r="J41" i="5"/>
  <c r="I41" i="5"/>
  <c r="H42" i="12"/>
  <c r="J41" i="12"/>
  <c r="I41" i="12"/>
  <c r="L43" i="4"/>
  <c r="Z42" i="4"/>
  <c r="S42" i="4"/>
  <c r="R42" i="4"/>
  <c r="AA42" i="4"/>
  <c r="AA41" i="6"/>
  <c r="L42" i="6"/>
  <c r="Z41" i="6"/>
  <c r="S41" i="6"/>
  <c r="R41" i="6"/>
  <c r="H41" i="8"/>
  <c r="I40" i="8"/>
  <c r="J40" i="8"/>
  <c r="C41" i="10"/>
  <c r="A42" i="10"/>
  <c r="B41" i="10"/>
  <c r="AA42" i="12"/>
  <c r="L43" i="12"/>
  <c r="Z42" i="12"/>
  <c r="S42" i="12"/>
  <c r="R42" i="12"/>
  <c r="A42" i="8"/>
  <c r="C41" i="8"/>
  <c r="B41" i="8"/>
  <c r="A42" i="11"/>
  <c r="C41" i="11"/>
  <c r="B41" i="11"/>
  <c r="I41" i="4"/>
  <c r="H42" i="4"/>
  <c r="J41" i="4"/>
  <c r="A43" i="4" l="1"/>
  <c r="C42" i="4"/>
  <c r="B42" i="4"/>
  <c r="AA43" i="4"/>
  <c r="L44" i="4"/>
  <c r="Z43" i="4"/>
  <c r="S43" i="4"/>
  <c r="R43" i="4"/>
  <c r="J42" i="7"/>
  <c r="H43" i="7"/>
  <c r="I42" i="7"/>
  <c r="H43" i="10"/>
  <c r="J42" i="10"/>
  <c r="I42" i="10"/>
  <c r="C43" i="9"/>
  <c r="B43" i="9"/>
  <c r="A44" i="9"/>
  <c r="H42" i="3"/>
  <c r="J41" i="3"/>
  <c r="I41" i="3"/>
  <c r="A43" i="1"/>
  <c r="C42" i="1"/>
  <c r="B42" i="1"/>
  <c r="A43" i="12"/>
  <c r="C42" i="12"/>
  <c r="B42" i="12"/>
  <c r="C42" i="7"/>
  <c r="A43" i="7"/>
  <c r="B42" i="7"/>
  <c r="C42" i="10"/>
  <c r="B42" i="10"/>
  <c r="A43" i="10"/>
  <c r="J42" i="12"/>
  <c r="I42" i="12"/>
  <c r="H43" i="12"/>
  <c r="AA43" i="11"/>
  <c r="S43" i="11"/>
  <c r="R43" i="11"/>
  <c r="Z43" i="11"/>
  <c r="L44" i="11"/>
  <c r="H43" i="11"/>
  <c r="J42" i="11"/>
  <c r="I42" i="11"/>
  <c r="H43" i="6"/>
  <c r="J42" i="6"/>
  <c r="I42" i="6"/>
  <c r="B42" i="11"/>
  <c r="C42" i="11"/>
  <c r="A43" i="11"/>
  <c r="AA43" i="8"/>
  <c r="Z43" i="8"/>
  <c r="S43" i="8"/>
  <c r="R43" i="8"/>
  <c r="L44" i="8"/>
  <c r="A43" i="8"/>
  <c r="C42" i="8"/>
  <c r="B42" i="8"/>
  <c r="L43" i="6"/>
  <c r="Z42" i="6"/>
  <c r="S42" i="6"/>
  <c r="R42" i="6"/>
  <c r="AA42" i="6"/>
  <c r="I42" i="5"/>
  <c r="H43" i="5"/>
  <c r="J42" i="5"/>
  <c r="AA43" i="10"/>
  <c r="R43" i="10"/>
  <c r="S43" i="10"/>
  <c r="L44" i="10"/>
  <c r="Z43" i="10"/>
  <c r="H42" i="8"/>
  <c r="J41" i="8"/>
  <c r="I41" i="8"/>
  <c r="AA43" i="7"/>
  <c r="S43" i="7"/>
  <c r="R43" i="7"/>
  <c r="L44" i="7"/>
  <c r="Z43" i="7"/>
  <c r="A42" i="3"/>
  <c r="C41" i="3"/>
  <c r="B41" i="3"/>
  <c r="AA43" i="1"/>
  <c r="L44" i="1"/>
  <c r="Z43" i="1"/>
  <c r="S43" i="1"/>
  <c r="R43" i="1"/>
  <c r="A43" i="5"/>
  <c r="C42" i="5"/>
  <c r="B42" i="5"/>
  <c r="AA43" i="12"/>
  <c r="L44" i="12"/>
  <c r="Z43" i="12"/>
  <c r="S43" i="12"/>
  <c r="R43" i="12"/>
  <c r="H43" i="4"/>
  <c r="J42" i="4"/>
  <c r="I42" i="4"/>
  <c r="J42" i="9"/>
  <c r="H43" i="9"/>
  <c r="I42" i="9"/>
  <c r="L44" i="5"/>
  <c r="Z43" i="5"/>
  <c r="S43" i="5"/>
  <c r="R43" i="5"/>
  <c r="AA43" i="5"/>
  <c r="A42" i="6"/>
  <c r="C41" i="6"/>
  <c r="B41" i="6"/>
  <c r="J42" i="1"/>
  <c r="I42" i="1"/>
  <c r="H43" i="1"/>
  <c r="AA42" i="3"/>
  <c r="L43" i="3"/>
  <c r="Z42" i="3"/>
  <c r="S42" i="3"/>
  <c r="R42" i="3"/>
  <c r="C42" i="2"/>
  <c r="B42" i="2"/>
  <c r="A43" i="2"/>
  <c r="H43" i="2"/>
  <c r="I42" i="2"/>
  <c r="J42" i="2"/>
  <c r="R44" i="1" l="1"/>
  <c r="AA44" i="1"/>
  <c r="S44" i="1"/>
  <c r="L45" i="1"/>
  <c r="Z44" i="1"/>
  <c r="C43" i="12"/>
  <c r="B43" i="12"/>
  <c r="A44" i="12"/>
  <c r="AA43" i="6"/>
  <c r="L44" i="6"/>
  <c r="Z43" i="6"/>
  <c r="S43" i="6"/>
  <c r="R43" i="6"/>
  <c r="H44" i="7"/>
  <c r="J43" i="7"/>
  <c r="I43" i="7"/>
  <c r="C43" i="1"/>
  <c r="B43" i="1"/>
  <c r="A44" i="1"/>
  <c r="J43" i="4"/>
  <c r="I43" i="4"/>
  <c r="H44" i="4"/>
  <c r="J43" i="6"/>
  <c r="I43" i="6"/>
  <c r="H44" i="6"/>
  <c r="C43" i="10"/>
  <c r="B43" i="10"/>
  <c r="A44" i="10"/>
  <c r="H44" i="12"/>
  <c r="J43" i="12"/>
  <c r="I43" i="12"/>
  <c r="C42" i="3"/>
  <c r="B42" i="3"/>
  <c r="A43" i="3"/>
  <c r="A44" i="2"/>
  <c r="C43" i="2"/>
  <c r="B43" i="2"/>
  <c r="AA44" i="8"/>
  <c r="L45" i="8"/>
  <c r="Z44" i="8"/>
  <c r="S44" i="8"/>
  <c r="R44" i="8"/>
  <c r="H43" i="3"/>
  <c r="J42" i="3"/>
  <c r="I42" i="3"/>
  <c r="H44" i="2"/>
  <c r="J43" i="2"/>
  <c r="I43" i="2"/>
  <c r="A44" i="8"/>
  <c r="C43" i="8"/>
  <c r="B43" i="8"/>
  <c r="S43" i="3"/>
  <c r="R43" i="3"/>
  <c r="L44" i="3"/>
  <c r="AA43" i="3"/>
  <c r="Z43" i="3"/>
  <c r="AA44" i="5"/>
  <c r="S44" i="5"/>
  <c r="R44" i="5"/>
  <c r="Z44" i="5"/>
  <c r="L45" i="5"/>
  <c r="AA44" i="7"/>
  <c r="L45" i="7"/>
  <c r="Z44" i="7"/>
  <c r="S44" i="7"/>
  <c r="R44" i="7"/>
  <c r="J43" i="11"/>
  <c r="I43" i="11"/>
  <c r="H44" i="11"/>
  <c r="A45" i="9"/>
  <c r="C44" i="9"/>
  <c r="B44" i="9"/>
  <c r="AA44" i="4"/>
  <c r="Z44" i="4"/>
  <c r="S44" i="4"/>
  <c r="R44" i="4"/>
  <c r="S44" i="10"/>
  <c r="AA44" i="10"/>
  <c r="L45" i="10"/>
  <c r="Z44" i="10"/>
  <c r="R44" i="10"/>
  <c r="H44" i="5"/>
  <c r="J43" i="5"/>
  <c r="I43" i="5"/>
  <c r="AA44" i="11"/>
  <c r="Z44" i="11"/>
  <c r="S44" i="11"/>
  <c r="R44" i="11"/>
  <c r="B43" i="7"/>
  <c r="A44" i="7"/>
  <c r="C43" i="7"/>
  <c r="J42" i="8"/>
  <c r="I42" i="8"/>
  <c r="H43" i="8"/>
  <c r="A43" i="6"/>
  <c r="C42" i="6"/>
  <c r="B42" i="6"/>
  <c r="R44" i="12"/>
  <c r="AA44" i="12"/>
  <c r="L45" i="12"/>
  <c r="Z44" i="12"/>
  <c r="S44" i="12"/>
  <c r="H44" i="9"/>
  <c r="I43" i="9"/>
  <c r="J43" i="9"/>
  <c r="C43" i="5"/>
  <c r="B43" i="5"/>
  <c r="A44" i="5"/>
  <c r="H44" i="10"/>
  <c r="J43" i="10"/>
  <c r="I43" i="10"/>
  <c r="H44" i="1"/>
  <c r="J43" i="1"/>
  <c r="I43" i="1"/>
  <c r="A44" i="11"/>
  <c r="C43" i="11"/>
  <c r="B43" i="11"/>
  <c r="A44" i="4"/>
  <c r="C43" i="4"/>
  <c r="B43" i="4"/>
  <c r="A45" i="2" l="1"/>
  <c r="C44" i="2"/>
  <c r="B44" i="2"/>
  <c r="B45" i="9"/>
  <c r="C45" i="9"/>
  <c r="J44" i="2"/>
  <c r="I44" i="2"/>
  <c r="H45" i="2"/>
  <c r="A44" i="3"/>
  <c r="C43" i="3"/>
  <c r="B43" i="3"/>
  <c r="H45" i="4"/>
  <c r="J44" i="4"/>
  <c r="I44" i="4"/>
  <c r="AA44" i="6"/>
  <c r="Z44" i="6"/>
  <c r="S44" i="6"/>
  <c r="R44" i="6"/>
  <c r="A45" i="5"/>
  <c r="C44" i="5"/>
  <c r="B44" i="5"/>
  <c r="H45" i="11"/>
  <c r="J44" i="11"/>
  <c r="I44" i="11"/>
  <c r="A45" i="12"/>
  <c r="C44" i="12"/>
  <c r="B44" i="12"/>
  <c r="J44" i="5"/>
  <c r="I44" i="5"/>
  <c r="H45" i="5"/>
  <c r="H45" i="9"/>
  <c r="J44" i="9"/>
  <c r="I44" i="9"/>
  <c r="H44" i="3"/>
  <c r="J43" i="3"/>
  <c r="I43" i="3"/>
  <c r="A45" i="1"/>
  <c r="C44" i="1"/>
  <c r="B44" i="1"/>
  <c r="A45" i="7"/>
  <c r="C44" i="7"/>
  <c r="B44" i="7"/>
  <c r="AA44" i="3"/>
  <c r="L45" i="3"/>
  <c r="Z44" i="3"/>
  <c r="S44" i="3"/>
  <c r="R44" i="3"/>
  <c r="J43" i="8"/>
  <c r="H44" i="8"/>
  <c r="I43" i="8"/>
  <c r="H45" i="12"/>
  <c r="J44" i="12"/>
  <c r="I44" i="12"/>
  <c r="Z45" i="10"/>
  <c r="S45" i="10"/>
  <c r="AA45" i="10"/>
  <c r="R45" i="10"/>
  <c r="A45" i="10"/>
  <c r="C44" i="10"/>
  <c r="B44" i="10"/>
  <c r="AA45" i="1"/>
  <c r="Z45" i="1"/>
  <c r="S45" i="1"/>
  <c r="R45" i="1"/>
  <c r="A44" i="6"/>
  <c r="C43" i="6"/>
  <c r="B43" i="6"/>
  <c r="C44" i="11"/>
  <c r="B44" i="11"/>
  <c r="A45" i="11"/>
  <c r="AA45" i="12"/>
  <c r="Z45" i="12"/>
  <c r="S45" i="12"/>
  <c r="R45" i="12"/>
  <c r="AA45" i="7"/>
  <c r="Z45" i="7"/>
  <c r="S45" i="7"/>
  <c r="R45" i="7"/>
  <c r="AA45" i="8"/>
  <c r="Z45" i="8"/>
  <c r="S45" i="8"/>
  <c r="R45" i="8"/>
  <c r="C44" i="4"/>
  <c r="B44" i="4"/>
  <c r="A45" i="4"/>
  <c r="H45" i="1"/>
  <c r="J44" i="1"/>
  <c r="I44" i="1"/>
  <c r="J44" i="7"/>
  <c r="I44" i="7"/>
  <c r="H45" i="7"/>
  <c r="H45" i="10"/>
  <c r="I44" i="10"/>
  <c r="J44" i="10"/>
  <c r="AA45" i="5"/>
  <c r="Z45" i="5"/>
  <c r="S45" i="5"/>
  <c r="R45" i="5"/>
  <c r="B44" i="8"/>
  <c r="A45" i="8"/>
  <c r="C44" i="8"/>
  <c r="H45" i="6"/>
  <c r="J44" i="6"/>
  <c r="I44" i="6"/>
  <c r="B45" i="11" l="1"/>
  <c r="C45" i="11"/>
  <c r="C45" i="10"/>
  <c r="B45" i="10"/>
  <c r="J44" i="3"/>
  <c r="I44" i="3"/>
  <c r="H45" i="3"/>
  <c r="J45" i="11"/>
  <c r="I45" i="11"/>
  <c r="A45" i="3"/>
  <c r="C44" i="3"/>
  <c r="B44" i="3"/>
  <c r="C45" i="4"/>
  <c r="B45" i="4"/>
  <c r="AA45" i="3"/>
  <c r="Z45" i="3"/>
  <c r="S45" i="3"/>
  <c r="R45" i="3"/>
  <c r="J45" i="2"/>
  <c r="I45" i="2"/>
  <c r="J45" i="10"/>
  <c r="I45" i="10"/>
  <c r="J45" i="7"/>
  <c r="I45" i="7"/>
  <c r="J45" i="5"/>
  <c r="I45" i="5"/>
  <c r="C44" i="6"/>
  <c r="B44" i="6"/>
  <c r="A45" i="6"/>
  <c r="J45" i="4"/>
  <c r="I45" i="4"/>
  <c r="J45" i="9"/>
  <c r="I45" i="9"/>
  <c r="C45" i="8"/>
  <c r="B45" i="8"/>
  <c r="B45" i="7"/>
  <c r="C45" i="7"/>
  <c r="C45" i="5"/>
  <c r="B45" i="5"/>
  <c r="I45" i="12"/>
  <c r="J45" i="12"/>
  <c r="J45" i="6"/>
  <c r="I45" i="6"/>
  <c r="I45" i="1"/>
  <c r="J45" i="1"/>
  <c r="H45" i="8"/>
  <c r="J44" i="8"/>
  <c r="I44" i="8"/>
  <c r="C45" i="1"/>
  <c r="B45" i="1"/>
  <c r="C45" i="12"/>
  <c r="B45" i="12"/>
  <c r="B45" i="2"/>
  <c r="C45" i="2"/>
  <c r="I45" i="8" l="1"/>
  <c r="J45" i="8"/>
  <c r="B45" i="3"/>
  <c r="C45" i="3"/>
  <c r="C45" i="6"/>
  <c r="B45" i="6"/>
  <c r="J45" i="3"/>
  <c r="I4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ID#AAACGcNqSNs
D´JOSE    (2026-07-13 02:56:07)
MODIFICA AQUÍ SOLO EN CAMBIO DE AÑO COMPARATIVO.</t>
        </r>
      </text>
    </comment>
    <comment ref="P8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======
ID#AAACGcNqSN8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bONtMWtqVOZuG6oMp197oEwrRy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ID#AAACGcNqSNI
D´JOSE    (2026-07-13 02:56:07)
MODIFICA AQUÍ SOLO EN CAMBIO DE AÑO COMPARATIVO.</t>
        </r>
      </text>
    </comment>
    <comment ref="P8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ID#AAACGcNqSNA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WllbIKRCkUpmJyybFseZ3UcecUg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ID#AAACGcNqSNE
D´JOSE    (2026-07-13 02:56:07)
MODIFICA AQUÍ SOLO EN CAMBIO DE AÑO COMPARATIVO.</t>
        </r>
      </text>
    </comment>
    <comment ref="P8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ID#AAACGcNqSNQ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y3W/ERQzEFo/Hw81zmJ16lyEZIw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ID#AAACGcNqSMs
D´JOSE    (2026-07-13 02:56:07)
MODIFICA AQUÍ SOLO EN CAMBIO DE AÑO COMPARATIVO.</t>
        </r>
      </text>
    </comment>
    <comment ref="P8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======
ID#AAACGcNqSNM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TTwkhY5W4CWIxJv1kky32AR+gqg=="/>
    </ext>
  </extL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======
ID#AAACGcNqSNo
D´JOSE    (2026-07-13 02:56:07)
MODIFICA AQUÍ SOLO EN CAMBIO DE AÑO COMPARATIVO.</t>
        </r>
      </text>
    </comment>
    <comment ref="P8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======
ID#AAACGcNqSOA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7FzavZolDD1ulKsoW8X1XdZgk5g=="/>
    </ext>
  </extL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======
ID#AAACGcNqSOE
D´JOSE    (2026-07-13 02:56:07)
MODIFICA AQUÍ SOLO EN CAMBIO DE AÑO COMPARATIVO.</t>
        </r>
      </text>
    </comment>
    <comment ref="P8" authorId="0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======
ID#AAACGcNqSN4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7/9PdfBAMkqEUcQBoU1sMK7UX2A=="/>
    </ext>
  </extL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======
ID#AAACGcNqSM8
D´JOSE    (2026-07-13 02:56:07)
MODIFICA AQUÍ SOLO EN CAMBIO DE AÑO COMPARATIVO.</t>
        </r>
      </text>
    </comment>
    <comment ref="P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======
ID#AAACGcNqSM4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tBDS7rSJGnyc2+ElNGLoSQVczkQ=="/>
    </ext>
  </extL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======
ID#AAACGcNqSNw
D´JOSE    (2026-07-13 02:56:07)
MODIFICA AQUÍ SOLO EN CAMBIO DE AÑO COMPARATIVO.</t>
        </r>
      </text>
    </comment>
    <comment ref="P8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>======
ID#AAACGcNqSNY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vXwTTLBOaWtAPqa/CPRWHJZPcSg=="/>
    </ext>
  </extL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======
ID#AAACGcNqSOI
D´JOSE    (2026-07-13 02:56:07)
MODIFICA AQUÍ SOLO EN CAMBIO DE AÑO COMPARATIVO.</t>
        </r>
      </text>
    </comment>
    <comment ref="P8" authorId="0" shapeId="0" xr:uid="{00000000-0006-0000-0800-000002000000}">
      <text>
        <r>
          <rPr>
            <sz val="11"/>
            <color theme="1"/>
            <rFont val="Calibri"/>
            <family val="2"/>
            <scheme val="minor"/>
          </rPr>
          <t>======
ID#AAACGcNqSNk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jn0sWB/XegEnO60u7pvhoDMUDQQ=="/>
    </ext>
  </extL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======
ID#AAACGcNqSMw
D´JOSE    (2026-07-13 02:56:07)
MODIFICA AQUÍ SOLO EN CAMBIO DE AÑO COMPARATIVO.</t>
        </r>
      </text>
    </comment>
    <comment ref="P8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======
ID#AAACGcNqSNc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FtHBnHw8PfNIanUomXF31lachhg=="/>
    </ext>
  </extL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======
ID#AAACGcNqSNg
D´JOSE    (2026-07-13 02:56:07)
MODIFICA AQUÍ SOLO EN CAMBIO DE AÑO COMPARATIVO.</t>
        </r>
      </text>
    </comment>
    <comment ref="P8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>======
ID#AAACGcNqSN0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KrBsyWSK+UTo8Usoy1ACjBnefg=="/>
    </ext>
  </extL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======
ID#AAACGcNqSNU
D´JOSE    (2026-07-13 02:56:07)
MODIFICA AQUÍ SOLO EN CAMBIO DE AÑO COMPARATIVO.</t>
        </r>
      </text>
    </comment>
    <comment ref="P8" authorId="0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>======
ID#AAACGcNqSM0
D´JOSE    (2026-07-13 02:56:07)
CAMBIA EL MES/AÑO SEGÚN SEA LA NECESIDAD.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ZNBS4rCMIm33Y7wZMNvviWV+Gxg=="/>
    </ext>
  </extLst>
</comments>
</file>

<file path=xl/sharedStrings.xml><?xml version="1.0" encoding="utf-8"?>
<sst xmlns="http://schemas.openxmlformats.org/spreadsheetml/2006/main" count="974" uniqueCount="85">
  <si>
    <t>AÑO</t>
  </si>
  <si>
    <t>MES</t>
  </si>
  <si>
    <t>DÍA</t>
  </si>
  <si>
    <t>ABRIL</t>
  </si>
  <si>
    <t>ENERO</t>
  </si>
  <si>
    <t>FEBRERO</t>
  </si>
  <si>
    <t>MARZO</t>
  </si>
  <si>
    <t>CUOTA MENSUAL
(SIN IVA)</t>
  </si>
  <si>
    <t xml:space="preserve">ADIDAS PERFORMANCE ALTABRISA MERIDA </t>
  </si>
  <si>
    <t xml:space="preserve">ADIDAS ORIGINALS AMERICAS MORELIA </t>
  </si>
  <si>
    <t>VENTA 2024</t>
  </si>
  <si>
    <t>VENTA 2025</t>
  </si>
  <si>
    <t>Variacion de ventas de comparar 2024 vs 2025</t>
  </si>
  <si>
    <t>PORCENTAJE CUBIERTO DE CUOTA</t>
  </si>
  <si>
    <t>Día</t>
  </si>
  <si>
    <t>Monto</t>
  </si>
  <si>
    <t>Venta Acumulada por Día</t>
  </si>
  <si>
    <t>N° Piezas</t>
  </si>
  <si>
    <t>N° Tickets</t>
  </si>
  <si>
    <t>Diaria</t>
  </si>
  <si>
    <t>%</t>
  </si>
  <si>
    <t>Acumulada</t>
  </si>
  <si>
    <t>dia</t>
  </si>
  <si>
    <t>Venta Promedio por tickets ATV</t>
  </si>
  <si>
    <t>Piezas Promedio por tickets ASP</t>
  </si>
  <si>
    <t>Venta Gerente</t>
  </si>
  <si>
    <t>Vendedor</t>
  </si>
  <si>
    <t>Vendedor 1</t>
  </si>
  <si>
    <t>Vendedor 2</t>
  </si>
  <si>
    <t>Vendedor 3</t>
  </si>
  <si>
    <t>Vendedor 4</t>
  </si>
  <si>
    <t>Vendedor 5</t>
  </si>
  <si>
    <t>Vendedor 6</t>
  </si>
  <si>
    <t>Vendedor 7</t>
  </si>
  <si>
    <t>Vendedor 8</t>
  </si>
  <si>
    <t>Vendedor 9</t>
  </si>
  <si>
    <t>Vendedor 10</t>
  </si>
  <si>
    <t xml:space="preserve">Venta Total </t>
  </si>
  <si>
    <t>VENTA 2026</t>
  </si>
  <si>
    <t>VENTAS SIN/ IVA</t>
  </si>
  <si>
    <t>VENTA SIN /IVA</t>
  </si>
  <si>
    <t>Resultado Acumulado (%)</t>
  </si>
  <si>
    <t>VENTAS CON/ IVA:</t>
  </si>
  <si>
    <t>VENTA CON /IVA</t>
  </si>
  <si>
    <t>IF(NOT(ISBLANK($F33)),SUM($G32+$F33),"")</t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</si>
  <si>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</si>
  <si>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t>Variaciones</t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</si>
  <si>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</si>
  <si>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</si>
  <si>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</si>
  <si>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t>MAYO</t>
  </si>
  <si>
    <t>JUNIO</t>
  </si>
  <si>
    <t>Variacion de ventas de comparar 2025 vs 2026</t>
  </si>
  <si>
    <t>JULIO</t>
  </si>
  <si>
    <t>AGOSTO</t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</si>
  <si>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</si>
  <si>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</si>
  <si>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t>.</t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</si>
  <si>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</si>
  <si>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</si>
  <si>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t>SEPTIEMBRE</t>
  </si>
  <si>
    <t>OCTUBRE</t>
  </si>
  <si>
    <t>NOVIEMBRE</t>
  </si>
  <si>
    <t>DICIEMBRE</t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</si>
  <si>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</si>
  <si>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</si>
  <si>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</si>
  <si>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r>
      <rPr>
        <b/>
        <sz val="9"/>
        <color rgb="FFFF0000"/>
        <rFont val="Calibri"/>
        <family val="2"/>
      </rPr>
      <t>NOTA:</t>
    </r>
    <r>
      <rPr>
        <sz val="9"/>
        <color theme="1"/>
        <rFont val="Calibri"/>
        <family val="2"/>
      </rPr>
      <t xml:space="preserve"> El recuadro de </t>
    </r>
    <r>
      <rPr>
        <sz val="9"/>
        <color rgb="FFFF0000"/>
        <rFont val="Calibri"/>
        <family val="2"/>
      </rPr>
      <t>Variaciones</t>
    </r>
    <r>
      <rPr>
        <sz val="9"/>
        <color theme="1"/>
        <rFont val="Calibri"/>
        <family val="2"/>
      </rPr>
      <t xml:space="preserve"> siempre debera ser cero sin excepción, es la comprobación del llenado de la  venta por cada uno de los vendedores vs venta total acumulada del mes.</t>
    </r>
  </si>
  <si>
    <t>MES DIA</t>
  </si>
  <si>
    <t>DIAS</t>
  </si>
  <si>
    <t>AÑOS</t>
  </si>
  <si>
    <t>TIENDAS</t>
  </si>
  <si>
    <t>ADIDAS ORIGINALS AVERANDA</t>
  </si>
  <si>
    <t>ADIDAS ORIGINALS PASEO ALTOZANO MORELIA</t>
  </si>
  <si>
    <t>ADIDAS ORIGINALS METEPEC</t>
  </si>
  <si>
    <t>ADIDAS ORIGINALS FORUM TEPIC</t>
  </si>
  <si>
    <t>ADIDAS ORIGINALS PUNTO SUR</t>
  </si>
  <si>
    <t>ADIDAS ORIGINALS PASEO QUERETARO</t>
  </si>
  <si>
    <t>ADIDAS OCS/BCS SAN LUIS POTOSI</t>
  </si>
  <si>
    <t>ADIDAS PERFORMANCE AGUASCALIENTES</t>
  </si>
  <si>
    <t>ADIDAS PERFORMANCE TUXTLAN CHIAPAS</t>
  </si>
  <si>
    <t xml:space="preserve">ADIDAS PERFORMANCE ALTABRISA VILLAHERMOSA TABASCO </t>
  </si>
  <si>
    <t xml:space="preserve">ADIDAS PERFORMANCE ECATEPEC </t>
  </si>
  <si>
    <t xml:space="preserve">ADIDAS PERFORMANCE BELLA OAXACA </t>
  </si>
  <si>
    <t xml:space="preserve">ADIDAS PERFORMANCE LAS AMERICAS MORELIA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</si>
</sst>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8" formatCode="&quot;$&quot;#,##0.00;[Red]\-&quot;$&quot;#,##0.00"/>
    <numFmt numFmtId="164" formatCode="&quot;$&quot;#,##0.00"/>
    <numFmt numFmtId="165" formatCode="_-* #,##0_-;\-* #,##0_-;_-* &quot;-&quot;??_-;_-@"/>
    <numFmt numFmtId="166" formatCode="dddd"/>
    <numFmt numFmtId="167" formatCode="_-&quot;$&quot;* #,##0_-;\-&quot;$&quot;* #,##0_-;_-&quot;$&quot;* &quot;-&quot;??_-;_-@"/>
    <numFmt numFmtId="168" formatCode="_-* #,##0.00_-;\-* #,##0.00_-;_-* &quot;-&quot;??_-;_-@"/>
    <numFmt numFmtId="169" formatCode="_-&quot;$&quot;* #,##0.00_-;\-&quot;$&quot;* #,##0.00_-;_-&quot;$&quot;* &quot;-&quot;??_-;_-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9"/>
      <color theme="1"/>
      <name val="Calibri"/>
      <family val="2"/>
    </font>
    <font>
      <b/>
      <sz val="18"/>
      <color theme="4"/>
      <name val="Calibri"/>
      <family val="2"/>
    </font>
    <font>
      <sz val="11"/>
      <name val="Calibri"/>
      <family val="2"/>
    </font>
    <font>
      <b/>
      <sz val="9"/>
      <color theme="0"/>
      <name val="Calibri"/>
      <family val="2"/>
    </font>
    <font>
      <sz val="9"/>
      <color theme="1"/>
      <name val="Calibri"/>
      <family val="2"/>
    </font>
    <font>
      <b/>
      <sz val="9"/>
      <color rgb="FFFFFFCC"/>
      <name val="Calibri"/>
      <family val="2"/>
    </font>
    <font>
      <i/>
      <sz val="9"/>
      <color rgb="FF7F7F7F"/>
      <name val="Calibri"/>
      <family val="2"/>
    </font>
    <font>
      <sz val="9"/>
      <color theme="0"/>
      <name val="Calibri"/>
      <family val="2"/>
    </font>
    <font>
      <b/>
      <sz val="9"/>
      <color rgb="FFFF0000"/>
      <name val="Calibri"/>
      <family val="2"/>
    </font>
    <font>
      <sz val="11"/>
      <color theme="0"/>
      <name val="Calibri"/>
      <family val="2"/>
    </font>
    <font>
      <sz val="11"/>
      <color rgb="FFFFFFFF"/>
      <name val="Calibri"/>
      <family val="2"/>
    </font>
    <font>
      <sz val="9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1"/>
        <bgColor theme="1"/>
      </patternFill>
    </fill>
    <fill>
      <patternFill patternType="solid">
        <fgColor rgb="FFA5A5A5"/>
        <bgColor rgb="FFA5A5A5"/>
      </patternFill>
    </fill>
    <fill>
      <patternFill patternType="solid">
        <fgColor rgb="FFE2EFD9"/>
        <bgColor rgb="FFE2EFD9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8EAADB"/>
        <bgColor rgb="FF8EAADB"/>
      </patternFill>
    </fill>
    <fill>
      <patternFill patternType="solid">
        <fgColor rgb="FFD9E2F3"/>
        <bgColor rgb="FFD9E2F3"/>
      </patternFill>
    </fill>
    <fill>
      <patternFill patternType="solid">
        <fgColor rgb="FFAEABAB"/>
        <bgColor rgb="FFAEABAB"/>
      </patternFill>
    </fill>
    <fill>
      <patternFill patternType="solid">
        <fgColor rgb="FFB4C6E7"/>
        <bgColor rgb="FFB4C6E7"/>
      </patternFill>
    </fill>
    <fill>
      <patternFill patternType="solid">
        <fgColor rgb="FFD0CECE"/>
        <bgColor rgb="FFD0CECE"/>
      </patternFill>
    </fill>
  </fills>
  <borders count="71"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0" borderId="1" xfId="0" applyFont="1" applyBorder="1"/>
    <xf numFmtId="0" fontId="1" fillId="0" borderId="0" xfId="0" applyFont="1"/>
    <xf numFmtId="0" fontId="1" fillId="0" borderId="2" xfId="0" applyFont="1" applyBorder="1"/>
    <xf numFmtId="0" fontId="1" fillId="2" borderId="3" xfId="0" applyFont="1" applyFill="1" applyBorder="1"/>
    <xf numFmtId="0" fontId="1" fillId="3" borderId="4" xfId="0" applyFont="1" applyFill="1" applyBorder="1"/>
    <xf numFmtId="0" fontId="1" fillId="4" borderId="4" xfId="0" applyFont="1" applyFill="1" applyBorder="1"/>
    <xf numFmtId="0" fontId="1" fillId="4" borderId="4" xfId="0" applyFont="1" applyFill="1" applyBorder="1" applyAlignment="1">
      <alignment horizontal="center" vertical="center"/>
    </xf>
    <xf numFmtId="0" fontId="1" fillId="0" borderId="5" xfId="0" applyFont="1" applyBorder="1"/>
    <xf numFmtId="0" fontId="1" fillId="0" borderId="6" xfId="0" applyFont="1" applyBorder="1"/>
    <xf numFmtId="0" fontId="2" fillId="5" borderId="2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1" fillId="2" borderId="8" xfId="0" applyFont="1" applyFill="1" applyBorder="1"/>
    <xf numFmtId="0" fontId="1" fillId="2" borderId="4" xfId="0" applyFont="1" applyFill="1" applyBorder="1"/>
    <xf numFmtId="0" fontId="1" fillId="2" borderId="4" xfId="0" applyFont="1" applyFill="1" applyBorder="1" applyAlignment="1">
      <alignment horizontal="center"/>
    </xf>
    <xf numFmtId="164" fontId="4" fillId="6" borderId="10" xfId="0" applyNumberFormat="1" applyFont="1" applyFill="1" applyBorder="1" applyAlignment="1">
      <alignment horizontal="center"/>
    </xf>
    <xf numFmtId="164" fontId="4" fillId="6" borderId="15" xfId="0" applyNumberFormat="1" applyFont="1" applyFill="1" applyBorder="1" applyAlignment="1">
      <alignment horizontal="center"/>
    </xf>
    <xf numFmtId="164" fontId="4" fillId="6" borderId="20" xfId="0" applyNumberFormat="1" applyFont="1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2" borderId="22" xfId="0" applyFont="1" applyFill="1" applyBorder="1"/>
    <xf numFmtId="0" fontId="1" fillId="2" borderId="23" xfId="0" applyFont="1" applyFill="1" applyBorder="1"/>
    <xf numFmtId="0" fontId="1" fillId="2" borderId="23" xfId="0" applyFont="1" applyFill="1" applyBorder="1" applyAlignment="1">
      <alignment horizontal="center"/>
    </xf>
    <xf numFmtId="0" fontId="1" fillId="2" borderId="24" xfId="0" applyFont="1" applyFill="1" applyBorder="1"/>
    <xf numFmtId="14" fontId="1" fillId="3" borderId="4" xfId="0" applyNumberFormat="1" applyFont="1" applyFill="1" applyBorder="1" applyAlignment="1">
      <alignment horizontal="center"/>
    </xf>
    <xf numFmtId="0" fontId="4" fillId="5" borderId="31" xfId="0" applyFont="1" applyFill="1" applyBorder="1" applyAlignment="1">
      <alignment horizontal="center" vertical="center" wrapText="1"/>
    </xf>
    <xf numFmtId="10" fontId="2" fillId="7" borderId="2" xfId="0" applyNumberFormat="1" applyFont="1" applyFill="1" applyBorder="1" applyAlignment="1">
      <alignment horizontal="center" vertical="center"/>
    </xf>
    <xf numFmtId="14" fontId="1" fillId="3" borderId="4" xfId="0" applyNumberFormat="1" applyFont="1" applyFill="1" applyBorder="1"/>
    <xf numFmtId="165" fontId="4" fillId="5" borderId="31" xfId="0" applyNumberFormat="1" applyFont="1" applyFill="1" applyBorder="1" applyAlignment="1">
      <alignment horizontal="center" vertical="center" wrapText="1"/>
    </xf>
    <xf numFmtId="165" fontId="4" fillId="5" borderId="32" xfId="0" applyNumberFormat="1" applyFont="1" applyFill="1" applyBorder="1" applyAlignment="1">
      <alignment horizontal="center" vertical="center" wrapText="1"/>
    </xf>
    <xf numFmtId="165" fontId="4" fillId="5" borderId="33" xfId="0" applyNumberFormat="1" applyFont="1" applyFill="1" applyBorder="1" applyAlignment="1">
      <alignment horizontal="center" vertical="center" wrapText="1"/>
    </xf>
    <xf numFmtId="165" fontId="4" fillId="5" borderId="36" xfId="0" applyNumberFormat="1" applyFont="1" applyFill="1" applyBorder="1" applyAlignment="1">
      <alignment horizontal="center" vertical="center" wrapText="1"/>
    </xf>
    <xf numFmtId="0" fontId="4" fillId="5" borderId="37" xfId="0" applyFont="1" applyFill="1" applyBorder="1" applyAlignment="1">
      <alignment horizontal="center" vertical="center" wrapText="1"/>
    </xf>
    <xf numFmtId="0" fontId="4" fillId="5" borderId="38" xfId="0" applyFont="1" applyFill="1" applyBorder="1" applyAlignment="1">
      <alignment horizontal="center" vertical="center" wrapText="1"/>
    </xf>
    <xf numFmtId="0" fontId="7" fillId="8" borderId="37" xfId="0" applyFont="1" applyFill="1" applyBorder="1" applyAlignment="1">
      <alignment horizontal="center" vertical="center" wrapText="1"/>
    </xf>
    <xf numFmtId="0" fontId="7" fillId="8" borderId="31" xfId="0" applyFont="1" applyFill="1" applyBorder="1" applyAlignment="1">
      <alignment horizontal="center" vertical="center" wrapText="1"/>
    </xf>
    <xf numFmtId="0" fontId="7" fillId="8" borderId="39" xfId="0" applyFont="1" applyFill="1" applyBorder="1" applyAlignment="1">
      <alignment horizontal="center" vertical="center" wrapText="1"/>
    </xf>
    <xf numFmtId="0" fontId="7" fillId="8" borderId="38" xfId="0" applyFont="1" applyFill="1" applyBorder="1" applyAlignment="1">
      <alignment horizontal="center" vertical="center" wrapText="1"/>
    </xf>
    <xf numFmtId="0" fontId="7" fillId="8" borderId="40" xfId="0" applyFont="1" applyFill="1" applyBorder="1" applyAlignment="1">
      <alignment horizontal="center" vertical="center" wrapText="1"/>
    </xf>
    <xf numFmtId="0" fontId="7" fillId="8" borderId="41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166" fontId="1" fillId="0" borderId="29" xfId="0" applyNumberFormat="1" applyFont="1" applyBorder="1" applyAlignment="1">
      <alignment horizontal="center" vertical="center"/>
    </xf>
    <xf numFmtId="8" fontId="4" fillId="6" borderId="36" xfId="0" applyNumberFormat="1" applyFont="1" applyFill="1" applyBorder="1" applyAlignment="1">
      <alignment horizontal="center" vertical="center"/>
    </xf>
    <xf numFmtId="8" fontId="8" fillId="0" borderId="0" xfId="0" applyNumberFormat="1" applyFont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6" borderId="42" xfId="0" applyFont="1" applyFill="1" applyBorder="1" applyAlignment="1">
      <alignment horizontal="center" vertical="center"/>
    </xf>
    <xf numFmtId="167" fontId="8" fillId="0" borderId="43" xfId="0" applyNumberFormat="1" applyFont="1" applyBorder="1" applyAlignment="1">
      <alignment horizontal="center"/>
    </xf>
    <xf numFmtId="0" fontId="8" fillId="0" borderId="44" xfId="0" applyFont="1" applyBorder="1"/>
    <xf numFmtId="167" fontId="4" fillId="0" borderId="43" xfId="0" applyNumberFormat="1" applyFont="1" applyBorder="1" applyAlignment="1">
      <alignment horizontal="center" vertical="center"/>
    </xf>
    <xf numFmtId="9" fontId="8" fillId="0" borderId="44" xfId="0" applyNumberFormat="1" applyFont="1" applyBorder="1"/>
    <xf numFmtId="0" fontId="8" fillId="9" borderId="45" xfId="0" applyFont="1" applyFill="1" applyBorder="1" applyAlignment="1">
      <alignment horizontal="center" vertical="center"/>
    </xf>
    <xf numFmtId="8" fontId="8" fillId="9" borderId="46" xfId="0" applyNumberFormat="1" applyFont="1" applyFill="1" applyBorder="1" applyAlignment="1">
      <alignment horizontal="center" vertical="center"/>
    </xf>
    <xf numFmtId="8" fontId="8" fillId="9" borderId="47" xfId="0" applyNumberFormat="1" applyFont="1" applyFill="1" applyBorder="1" applyAlignment="1">
      <alignment horizontal="center" vertical="center"/>
    </xf>
    <xf numFmtId="167" fontId="8" fillId="9" borderId="45" xfId="0" applyNumberFormat="1" applyFont="1" applyFill="1" applyBorder="1"/>
    <xf numFmtId="0" fontId="8" fillId="9" borderId="46" xfId="0" applyFont="1" applyFill="1" applyBorder="1"/>
    <xf numFmtId="0" fontId="8" fillId="9" borderId="47" xfId="0" applyFont="1" applyFill="1" applyBorder="1"/>
    <xf numFmtId="167" fontId="4" fillId="9" borderId="45" xfId="0" applyNumberFormat="1" applyFont="1" applyFill="1" applyBorder="1"/>
    <xf numFmtId="0" fontId="4" fillId="9" borderId="46" xfId="0" applyFont="1" applyFill="1" applyBorder="1"/>
    <xf numFmtId="0" fontId="4" fillId="9" borderId="47" xfId="0" applyFont="1" applyFill="1" applyBorder="1"/>
    <xf numFmtId="0" fontId="2" fillId="0" borderId="1" xfId="0" applyFont="1" applyBorder="1" applyAlignment="1">
      <alignment horizontal="center" vertical="center"/>
    </xf>
    <xf numFmtId="8" fontId="4" fillId="6" borderId="4" xfId="0" applyNumberFormat="1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165" fontId="8" fillId="0" borderId="48" xfId="0" applyNumberFormat="1" applyFont="1" applyBorder="1" applyAlignment="1">
      <alignment horizontal="center"/>
    </xf>
    <xf numFmtId="0" fontId="8" fillId="0" borderId="49" xfId="0" applyFont="1" applyBorder="1"/>
    <xf numFmtId="165" fontId="4" fillId="0" borderId="48" xfId="0" applyNumberFormat="1" applyFont="1" applyBorder="1" applyAlignment="1">
      <alignment horizontal="center" vertical="center"/>
    </xf>
    <xf numFmtId="9" fontId="8" fillId="0" borderId="49" xfId="0" applyNumberFormat="1" applyFont="1" applyBorder="1"/>
    <xf numFmtId="0" fontId="8" fillId="9" borderId="50" xfId="0" applyFont="1" applyFill="1" applyBorder="1" applyAlignment="1">
      <alignment horizontal="center" vertical="center"/>
    </xf>
    <xf numFmtId="165" fontId="8" fillId="9" borderId="50" xfId="0" applyNumberFormat="1" applyFont="1" applyFill="1" applyBorder="1"/>
    <xf numFmtId="0" fontId="8" fillId="9" borderId="4" xfId="0" applyFont="1" applyFill="1" applyBorder="1"/>
    <xf numFmtId="0" fontId="8" fillId="9" borderId="51" xfId="0" applyFont="1" applyFill="1" applyBorder="1"/>
    <xf numFmtId="165" fontId="4" fillId="9" borderId="50" xfId="0" applyNumberFormat="1" applyFont="1" applyFill="1" applyBorder="1"/>
    <xf numFmtId="0" fontId="4" fillId="9" borderId="4" xfId="0" applyFont="1" applyFill="1" applyBorder="1"/>
    <xf numFmtId="0" fontId="4" fillId="9" borderId="51" xfId="0" applyFont="1" applyFill="1" applyBorder="1"/>
    <xf numFmtId="165" fontId="4" fillId="6" borderId="4" xfId="0" applyNumberFormat="1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166" fontId="1" fillId="0" borderId="53" xfId="0" applyNumberFormat="1" applyFont="1" applyBorder="1" applyAlignment="1">
      <alignment horizontal="center" vertical="center"/>
    </xf>
    <xf numFmtId="8" fontId="4" fillId="6" borderId="23" xfId="0" applyNumberFormat="1" applyFont="1" applyFill="1" applyBorder="1" applyAlignment="1">
      <alignment horizontal="center" vertical="center"/>
    </xf>
    <xf numFmtId="8" fontId="8" fillId="0" borderId="53" xfId="0" applyNumberFormat="1" applyFont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167" fontId="8" fillId="0" borderId="54" xfId="0" applyNumberFormat="1" applyFont="1" applyBorder="1" applyAlignment="1">
      <alignment horizontal="center"/>
    </xf>
    <xf numFmtId="0" fontId="8" fillId="0" borderId="55" xfId="0" applyFont="1" applyBorder="1"/>
    <xf numFmtId="167" fontId="4" fillId="0" borderId="54" xfId="0" applyNumberFormat="1" applyFont="1" applyBorder="1" applyAlignment="1">
      <alignment horizontal="center" vertical="center"/>
    </xf>
    <xf numFmtId="9" fontId="8" fillId="0" borderId="55" xfId="0" applyNumberFormat="1" applyFont="1" applyBorder="1"/>
    <xf numFmtId="0" fontId="8" fillId="9" borderId="56" xfId="0" applyFont="1" applyFill="1" applyBorder="1" applyAlignment="1">
      <alignment horizontal="center" vertical="center"/>
    </xf>
    <xf numFmtId="0" fontId="8" fillId="9" borderId="57" xfId="0" applyFont="1" applyFill="1" applyBorder="1"/>
    <xf numFmtId="0" fontId="8" fillId="9" borderId="58" xfId="0" applyFont="1" applyFill="1" applyBorder="1"/>
    <xf numFmtId="0" fontId="4" fillId="9" borderId="57" xfId="0" applyFont="1" applyFill="1" applyBorder="1"/>
    <xf numFmtId="0" fontId="4" fillId="9" borderId="58" xfId="0" applyFont="1" applyFill="1" applyBorder="1"/>
    <xf numFmtId="0" fontId="4" fillId="0" borderId="59" xfId="0" applyFont="1" applyBorder="1" applyAlignment="1">
      <alignment horizontal="center"/>
    </xf>
    <xf numFmtId="0" fontId="8" fillId="4" borderId="4" xfId="0" applyFont="1" applyFill="1" applyBorder="1" applyAlignment="1">
      <alignment horizontal="center" vertical="center"/>
    </xf>
    <xf numFmtId="165" fontId="4" fillId="2" borderId="37" xfId="0" applyNumberFormat="1" applyFont="1" applyFill="1" applyBorder="1" applyAlignment="1">
      <alignment horizontal="center" vertical="center"/>
    </xf>
    <xf numFmtId="168" fontId="4" fillId="2" borderId="38" xfId="0" applyNumberFormat="1" applyFont="1" applyFill="1" applyBorder="1" applyAlignment="1">
      <alignment horizontal="center" vertical="center"/>
    </xf>
    <xf numFmtId="167" fontId="4" fillId="9" borderId="60" xfId="0" applyNumberFormat="1" applyFont="1" applyFill="1" applyBorder="1"/>
    <xf numFmtId="0" fontId="4" fillId="9" borderId="61" xfId="0" applyFont="1" applyFill="1" applyBorder="1"/>
    <xf numFmtId="0" fontId="4" fillId="9" borderId="62" xfId="0" applyFont="1" applyFill="1" applyBorder="1"/>
    <xf numFmtId="169" fontId="9" fillId="3" borderId="31" xfId="0" applyNumberFormat="1" applyFont="1" applyFill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0" fontId="8" fillId="0" borderId="0" xfId="0" applyFont="1"/>
    <xf numFmtId="165" fontId="4" fillId="2" borderId="37" xfId="0" applyNumberFormat="1" applyFont="1" applyFill="1" applyBorder="1"/>
    <xf numFmtId="168" fontId="4" fillId="2" borderId="38" xfId="0" applyNumberFormat="1" applyFont="1" applyFill="1" applyBorder="1"/>
    <xf numFmtId="0" fontId="8" fillId="4" borderId="4" xfId="0" applyFont="1" applyFill="1" applyBorder="1"/>
    <xf numFmtId="0" fontId="4" fillId="0" borderId="0" xfId="0" applyFont="1" applyAlignment="1">
      <alignment horizontal="right"/>
    </xf>
    <xf numFmtId="169" fontId="4" fillId="0" borderId="3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4" fillId="0" borderId="67" xfId="0" applyNumberFormat="1" applyFont="1" applyBorder="1" applyAlignment="1">
      <alignment horizontal="center" vertical="center"/>
    </xf>
    <xf numFmtId="9" fontId="4" fillId="0" borderId="68" xfId="0" applyNumberFormat="1" applyFont="1" applyBorder="1" applyAlignment="1">
      <alignment horizontal="center"/>
    </xf>
    <xf numFmtId="0" fontId="8" fillId="12" borderId="4" xfId="0" applyFont="1" applyFill="1" applyBorder="1"/>
    <xf numFmtId="0" fontId="12" fillId="12" borderId="60" xfId="0" applyFont="1" applyFill="1" applyBorder="1"/>
    <xf numFmtId="0" fontId="12" fillId="12" borderId="62" xfId="0" applyFont="1" applyFill="1" applyBorder="1" applyAlignment="1">
      <alignment horizontal="right"/>
    </xf>
    <xf numFmtId="167" fontId="12" fillId="12" borderId="60" xfId="0" applyNumberFormat="1" applyFont="1" applyFill="1" applyBorder="1"/>
    <xf numFmtId="0" fontId="12" fillId="12" borderId="61" xfId="0" applyFont="1" applyFill="1" applyBorder="1"/>
    <xf numFmtId="0" fontId="12" fillId="12" borderId="62" xfId="0" applyFont="1" applyFill="1" applyBorder="1"/>
    <xf numFmtId="169" fontId="4" fillId="6" borderId="36" xfId="0" applyNumberFormat="1" applyFont="1" applyFill="1" applyBorder="1" applyAlignment="1">
      <alignment horizontal="center" vertical="center"/>
    </xf>
    <xf numFmtId="169" fontId="4" fillId="6" borderId="4" xfId="0" applyNumberFormat="1" applyFont="1" applyFill="1" applyBorder="1" applyAlignment="1">
      <alignment horizontal="center" vertical="center"/>
    </xf>
    <xf numFmtId="167" fontId="4" fillId="6" borderId="36" xfId="0" applyNumberFormat="1" applyFont="1" applyFill="1" applyBorder="1" applyAlignment="1">
      <alignment horizontal="center" vertical="center"/>
    </xf>
    <xf numFmtId="167" fontId="4" fillId="6" borderId="2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3" fillId="3" borderId="4" xfId="0" applyFont="1" applyFill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9" borderId="69" xfId="0" applyFont="1" applyFill="1" applyBorder="1" applyAlignment="1">
      <alignment vertical="center"/>
    </xf>
    <xf numFmtId="0" fontId="1" fillId="0" borderId="70" xfId="0" applyFont="1" applyBorder="1" applyAlignment="1">
      <alignment vertical="center"/>
    </xf>
    <xf numFmtId="0" fontId="4" fillId="10" borderId="63" xfId="0" applyFont="1" applyFill="1" applyBorder="1" applyAlignment="1">
      <alignment horizontal="right" vertical="center" wrapText="1"/>
    </xf>
    <xf numFmtId="0" fontId="6" fillId="0" borderId="64" xfId="0" applyFont="1" applyBorder="1"/>
    <xf numFmtId="0" fontId="6" fillId="0" borderId="65" xfId="0" applyFont="1" applyBorder="1"/>
    <xf numFmtId="0" fontId="10" fillId="0" borderId="0" xfId="0" applyFont="1" applyAlignment="1">
      <alignment horizontal="center"/>
    </xf>
    <xf numFmtId="0" fontId="6" fillId="0" borderId="66" xfId="0" applyFont="1" applyBorder="1"/>
    <xf numFmtId="0" fontId="4" fillId="11" borderId="28" xfId="0" applyFont="1" applyFill="1" applyBorder="1" applyAlignment="1">
      <alignment horizontal="center" vertical="top" wrapText="1"/>
    </xf>
    <xf numFmtId="0" fontId="6" fillId="0" borderId="30" xfId="0" applyFont="1" applyBorder="1"/>
    <xf numFmtId="0" fontId="4" fillId="0" borderId="0" xfId="0" applyFont="1" applyAlignment="1">
      <alignment horizontal="right"/>
    </xf>
    <xf numFmtId="0" fontId="4" fillId="5" borderId="28" xfId="0" applyFont="1" applyFill="1" applyBorder="1" applyAlignment="1">
      <alignment horizontal="center" vertical="center" wrapText="1"/>
    </xf>
    <xf numFmtId="0" fontId="4" fillId="5" borderId="34" xfId="0" applyFont="1" applyFill="1" applyBorder="1" applyAlignment="1">
      <alignment horizontal="center" vertical="center" wrapText="1"/>
    </xf>
    <xf numFmtId="0" fontId="6" fillId="0" borderId="35" xfId="0" applyFont="1" applyBorder="1"/>
    <xf numFmtId="0" fontId="4" fillId="5" borderId="9" xfId="0" applyFont="1" applyFill="1" applyBorder="1" applyAlignment="1">
      <alignment horizontal="center" vertical="center" wrapText="1"/>
    </xf>
    <xf numFmtId="0" fontId="6" fillId="0" borderId="14" xfId="0" applyFont="1" applyBorder="1"/>
    <xf numFmtId="0" fontId="6" fillId="0" borderId="19" xfId="0" applyFont="1" applyBorder="1"/>
    <xf numFmtId="0" fontId="5" fillId="2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6" fillId="0" borderId="13" xfId="0" applyFont="1" applyBorder="1"/>
    <xf numFmtId="0" fontId="6" fillId="0" borderId="16" xfId="0" applyFont="1" applyBorder="1"/>
    <xf numFmtId="0" fontId="6" fillId="0" borderId="17" xfId="0" applyFont="1" applyBorder="1"/>
    <xf numFmtId="0" fontId="6" fillId="0" borderId="18" xfId="0" applyFont="1" applyBorder="1"/>
    <xf numFmtId="0" fontId="4" fillId="5" borderId="25" xfId="0" applyFont="1" applyFill="1" applyBorder="1" applyAlignment="1">
      <alignment horizontal="center" vertical="center"/>
    </xf>
    <xf numFmtId="0" fontId="6" fillId="0" borderId="26" xfId="0" applyFont="1" applyBorder="1"/>
    <xf numFmtId="0" fontId="6" fillId="0" borderId="27" xfId="0" applyFont="1" applyBorder="1"/>
    <xf numFmtId="0" fontId="4" fillId="5" borderId="28" xfId="0" applyFont="1" applyFill="1" applyBorder="1" applyAlignment="1">
      <alignment horizontal="center" vertical="center"/>
    </xf>
    <xf numFmtId="0" fontId="6" fillId="0" borderId="29" xfId="0" applyFont="1" applyBorder="1"/>
  </cellXfs>
  <cellStyles count="1">
    <cellStyle name="Normal" xfId="0" builtinId="0"/>
  </cellStyles>
  <dxfs count="88"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4">
    <tableStyle name="DTA-style" pivot="0" count="4" xr9:uid="{00000000-0011-0000-FFFF-FFFF00000000}">
      <tableStyleElement type="wholeTable" size="0" dxfId="87"/>
      <tableStyleElement type="headerRow" dxfId="86"/>
      <tableStyleElement type="firstRowStripe" dxfId="85"/>
      <tableStyleElement type="secondRowStripe" dxfId="84"/>
    </tableStyle>
    <tableStyle name="DTA-style 2" pivot="0" count="4" xr9:uid="{00000000-0011-0000-FFFF-FFFF01000000}">
      <tableStyleElement type="wholeTable" size="0" dxfId="83"/>
      <tableStyleElement type="headerRow" dxfId="82"/>
      <tableStyleElement type="firstRowStripe" dxfId="81"/>
      <tableStyleElement type="secondRowStripe" dxfId="80"/>
    </tableStyle>
    <tableStyle name="DTA-style 3" pivot="0" count="4" xr9:uid="{00000000-0011-0000-FFFF-FFFF02000000}">
      <tableStyleElement type="wholeTable" size="0" dxfId="79"/>
      <tableStyleElement type="headerRow" dxfId="78"/>
      <tableStyleElement type="firstRowStripe" dxfId="77"/>
      <tableStyleElement type="secondRowStripe" dxfId="76"/>
    </tableStyle>
    <tableStyle name="DTA-style 4" pivot="0" count="4" xr9:uid="{00000000-0011-0000-FFFF-FFFF03000000}">
      <tableStyleElement type="wholeTable" size="0" dxfId="75"/>
      <tableStyleElement type="headerRow" dxfId="74"/>
      <tableStyleElement type="firstRowStripe" dxfId="73"/>
      <tableStyleElement type="second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5.xml.rels><?xml version="1.0" encoding="UTF-8" standalone="yes"?>
<Relationships xmlns="http://schemas.openxmlformats.org/package/2006/relationships"><Relationship Id="rId1" Type="http://customschemas.google.com/relationships/workbookmetadata" Target="commentsmeta4"/></Relationships>
</file>

<file path=xl/_rels/comments6.xml.rels><?xml version="1.0" encoding="UTF-8" standalone="yes"?>
<Relationships xmlns="http://schemas.openxmlformats.org/package/2006/relationships"><Relationship Id="rId1" Type="http://customschemas.google.com/relationships/workbookmetadata" Target="commentsmeta5"/></Relationships>
</file>

<file path=xl/_rels/comments7.xml.rels><?xml version="1.0" encoding="UTF-8" standalone="yes"?>
<Relationships xmlns="http://schemas.openxmlformats.org/package/2006/relationships"><Relationship Id="rId1" Type="http://customschemas.google.com/relationships/workbookmetadata" Target="commentsmeta6"/></Relationships>
</file>

<file path=xl/_rels/comments8.xml.rels><?xml version="1.0" encoding="UTF-8" standalone="yes"?>
<Relationships xmlns="http://schemas.openxmlformats.org/package/2006/relationships"><Relationship Id="rId1" Type="http://customschemas.google.com/relationships/workbookmetadata" Target="commentsmeta7"/></Relationships>
</file>

<file path=xl/_rels/comments9.xml.rels><?xml version="1.0" encoding="UTF-8" standalone="yes"?>
<Relationships xmlns="http://schemas.openxmlformats.org/package/2006/relationships"><Relationship Id="rId1" Type="http://customschemas.google.com/relationships/workbookmetadata" Target="commentsmeta9"/></Relationships>
</file>

<file path=xl/_rels/comments10.xml.rels><?xml version="1.0" encoding="UTF-8" standalone="yes"?>
<Relationships xmlns="http://schemas.openxmlformats.org/package/2006/relationships"><Relationship Id="rId1" Type="http://customschemas.google.com/relationships/workbookmetadata" Target="commentsmeta8"/></Relationships>
</file>

<file path=xl/_rels/comments11.xml.rels><?xml version="1.0" encoding="UTF-8" standalone="yes"?>
<Relationships xmlns="http://schemas.openxmlformats.org/package/2006/relationships"><Relationship Id="rId1" Type="http://customschemas.google.com/relationships/workbookmetadata" Target="commentsmeta10"/></Relationships>
</file>

<file path=xl/_rels/comments12.xml.rels><?xml version="1.0" encoding="UTF-8" standalone="yes"?>
<Relationships xmlns="http://schemas.openxmlformats.org/package/2006/relationships"><Relationship Id="rId1" Type="http://customschemas.google.com/relationships/workbookmetadata" Target="commentsmeta1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66675</xdr:rowOff>
    </xdr:from>
    <xdr:ext cx="952500" cy="1076325"/>
    <xdr:pic>
      <xdr:nvPicPr>
        <xdr:cNvPr id="2" name="image1.png" descr="Adidas Originals Logo PNG Vector (AI) Free Download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3:C15">
  <tableColumns count="2">
    <tableColumn id="1" xr3:uid="{00000000-0010-0000-0000-000001000000}" name="MES DIA"/>
    <tableColumn id="2" xr3:uid="{00000000-0010-0000-0000-000002000000}" name="MES"/>
  </tableColumns>
  <tableStyleInfo name="DTA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E3:E34">
  <tableColumns count="1">
    <tableColumn id="1" xr3:uid="{00000000-0010-0000-0100-000001000000}" name="DIAS"/>
  </tableColumns>
  <tableStyleInfo name="DTA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G3:G9">
  <tableColumns count="1">
    <tableColumn id="1" xr3:uid="{00000000-0010-0000-0200-000001000000}" name="AÑOS"/>
  </tableColumns>
  <tableStyleInfo name="DTA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I3:I18">
  <tableColumns count="1">
    <tableColumn id="1" xr3:uid="{00000000-0010-0000-0300-000001000000}" name="TIENDAS"/>
  </tableColumns>
  <tableStyleInfo name="DTA-style 4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I1000"/>
  <sheetViews>
    <sheetView showGridLines="0" topLeftCell="A8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1.28515625" customWidth="1"/>
    <col min="5" max="5" width="18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710937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65" width="11.5703125" customWidth="1" collapsed="1"/>
    <col min="66" max="87" width="11.5703125" customWidth="1"/>
  </cols>
  <sheetData>
    <row r="1" spans="1:87" ht="14.25" hidden="1" customHeight="1" x14ac:dyDescent="0.25">
      <c r="A1" s="1"/>
      <c r="B1" s="2"/>
      <c r="C1" s="3">
        <f>C3</f>
        <v>2025</v>
      </c>
      <c r="D1" s="3">
        <f>VLOOKUP(D3,DTA!$B$3:$C$15,2,FALSE)</f>
        <v>1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2025</v>
      </c>
      <c r="D3" s="11" t="s">
        <v>4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9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4</v>
      </c>
      <c r="S8" s="11">
        <v>1</v>
      </c>
      <c r="T8" s="2"/>
      <c r="U8" s="138"/>
      <c r="V8" s="16">
        <v>1246893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1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10</v>
      </c>
      <c r="C13" s="147"/>
      <c r="D13" s="147"/>
      <c r="E13" s="147"/>
      <c r="F13" s="147"/>
      <c r="G13" s="148"/>
      <c r="H13" s="5"/>
      <c r="I13" s="149" t="s">
        <v>11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1.0269235211040564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45658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46023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45658</v>
      </c>
      <c r="B15" s="39">
        <f t="shared" ref="B15:B45" si="0">+DAY(A15)</f>
        <v>1</v>
      </c>
      <c r="C15" s="40">
        <f t="shared" ref="C15:C45" si="1">+WEEKDAY(A15)</f>
        <v>4</v>
      </c>
      <c r="D15" s="41">
        <v>0</v>
      </c>
      <c r="E15" s="42">
        <f>D15</f>
        <v>0</v>
      </c>
      <c r="F15" s="43">
        <v>0</v>
      </c>
      <c r="G15" s="44">
        <v>0</v>
      </c>
      <c r="H15" s="26">
        <f>H14</f>
        <v>46023</v>
      </c>
      <c r="I15" s="39">
        <f t="shared" ref="I15:I45" si="2">+DAY(H15)</f>
        <v>1</v>
      </c>
      <c r="J15" s="40">
        <f t="shared" ref="J15:J45" si="3">+WEEKDAY(H15)</f>
        <v>5</v>
      </c>
      <c r="K15" s="41">
        <v>0</v>
      </c>
      <c r="L15" s="42">
        <f>K15</f>
        <v>0</v>
      </c>
      <c r="M15" s="43">
        <v>0</v>
      </c>
      <c r="N15" s="44">
        <v>0</v>
      </c>
      <c r="O15" s="5"/>
      <c r="P15" s="45">
        <f t="shared" ref="P15:P45" si="4">IF(NOT(ISBLANK(K15)),SUM(K15-D15),"")</f>
        <v>0</v>
      </c>
      <c r="Q15" s="46" t="str">
        <f t="shared" ref="Q15:Q45" si="5">IF(NOT(ISBLANK(K15)),IFERROR(((K15/D15)-1)," ")," ")</f>
        <v xml:space="preserve"> </v>
      </c>
      <c r="R15" s="47">
        <f t="shared" ref="R15:R45" si="6">IF(NOT(ISBLANK(K15)),SUM(L15-E15),"")</f>
        <v>0</v>
      </c>
      <c r="S15" s="48" t="str">
        <f t="shared" ref="S15:S45" si="7">IFERROR(((L15/E15)-1),"")</f>
        <v/>
      </c>
      <c r="T15" s="2"/>
      <c r="U15" s="2"/>
      <c r="V15" s="2"/>
      <c r="W15" s="5"/>
      <c r="X15" s="6"/>
      <c r="Y15" s="49">
        <v>1</v>
      </c>
      <c r="Z15" s="50" t="str">
        <f t="shared" ref="Z15:Z45" si="8">IFERROR((L15/M15)," ")</f>
        <v xml:space="preserve"> </v>
      </c>
      <c r="AA15" s="51" t="str">
        <f t="shared" ref="AA15:AA45" si="9">IFERROR((L15/N15)," ")</f>
        <v xml:space="preserve"> 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45659</v>
      </c>
      <c r="B16" s="58">
        <f t="shared" si="0"/>
        <v>2</v>
      </c>
      <c r="C16" s="40">
        <f t="shared" si="1"/>
        <v>5</v>
      </c>
      <c r="D16" s="73">
        <v>59199.8</v>
      </c>
      <c r="E16" s="42">
        <f t="shared" ref="E16:E45" si="12">IF(NOT(ISBLANK(D16)),SUM(E15+D16),"")</f>
        <v>59199.8</v>
      </c>
      <c r="F16" s="60">
        <v>58</v>
      </c>
      <c r="G16" s="61">
        <v>30</v>
      </c>
      <c r="H16" s="26">
        <f t="shared" ref="H16:H45" si="13">H15+1</f>
        <v>46024</v>
      </c>
      <c r="I16" s="58">
        <f t="shared" si="2"/>
        <v>2</v>
      </c>
      <c r="J16" s="40">
        <f t="shared" si="3"/>
        <v>6</v>
      </c>
      <c r="K16" s="59">
        <v>57178.3</v>
      </c>
      <c r="L16" s="42">
        <f t="shared" ref="L16:L45" si="14">IF(NOT(ISBLANK(K16)),SUM(L15+K16),"")</f>
        <v>57178.3</v>
      </c>
      <c r="M16" s="60">
        <v>74</v>
      </c>
      <c r="N16" s="61">
        <v>46</v>
      </c>
      <c r="O16" s="5"/>
      <c r="P16" s="62">
        <f t="shared" si="4"/>
        <v>-2021.5</v>
      </c>
      <c r="Q16" s="63">
        <f t="shared" si="5"/>
        <v>-3.414707482119872E-2</v>
      </c>
      <c r="R16" s="64">
        <f t="shared" si="6"/>
        <v>-2021.5</v>
      </c>
      <c r="S16" s="65">
        <f t="shared" si="7"/>
        <v>-3.414707482119872E-2</v>
      </c>
      <c r="T16" s="2"/>
      <c r="U16" s="2"/>
      <c r="V16" s="2"/>
      <c r="W16" s="5"/>
      <c r="X16" s="6"/>
      <c r="Y16" s="66">
        <v>2</v>
      </c>
      <c r="Z16" s="50">
        <f t="shared" si="8"/>
        <v>772.67972972972973</v>
      </c>
      <c r="AA16" s="51">
        <f t="shared" si="9"/>
        <v>1243.0065217391304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45660</v>
      </c>
      <c r="B17" s="58">
        <f t="shared" si="0"/>
        <v>3</v>
      </c>
      <c r="C17" s="40">
        <f t="shared" si="1"/>
        <v>6</v>
      </c>
      <c r="D17" s="73">
        <v>46911.75</v>
      </c>
      <c r="E17" s="42">
        <f t="shared" si="12"/>
        <v>106111.55</v>
      </c>
      <c r="F17" s="60">
        <v>56</v>
      </c>
      <c r="G17" s="61">
        <v>31</v>
      </c>
      <c r="H17" s="26">
        <f t="shared" si="13"/>
        <v>46025</v>
      </c>
      <c r="I17" s="58">
        <f t="shared" si="2"/>
        <v>3</v>
      </c>
      <c r="J17" s="40">
        <f t="shared" si="3"/>
        <v>7</v>
      </c>
      <c r="K17" s="59">
        <v>92854.720000000001</v>
      </c>
      <c r="L17" s="42">
        <f t="shared" si="14"/>
        <v>150033.02000000002</v>
      </c>
      <c r="M17" s="60">
        <v>95</v>
      </c>
      <c r="N17" s="61">
        <v>73</v>
      </c>
      <c r="O17" s="5"/>
      <c r="P17" s="62">
        <f t="shared" si="4"/>
        <v>45942.97</v>
      </c>
      <c r="Q17" s="63">
        <f t="shared" si="5"/>
        <v>0.97934888380842766</v>
      </c>
      <c r="R17" s="64">
        <f t="shared" si="6"/>
        <v>43921.470000000016</v>
      </c>
      <c r="S17" s="65">
        <f t="shared" si="7"/>
        <v>0.41391790054899791</v>
      </c>
      <c r="T17" s="2"/>
      <c r="U17" s="2"/>
      <c r="V17" s="2"/>
      <c r="W17" s="5"/>
      <c r="X17" s="6"/>
      <c r="Y17" s="66">
        <v>3</v>
      </c>
      <c r="Z17" s="50">
        <f t="shared" si="8"/>
        <v>1579.2949473684212</v>
      </c>
      <c r="AA17" s="51">
        <f t="shared" si="9"/>
        <v>2055.2468493150686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45661</v>
      </c>
      <c r="B18" s="58">
        <f t="shared" si="0"/>
        <v>4</v>
      </c>
      <c r="C18" s="40">
        <f t="shared" si="1"/>
        <v>7</v>
      </c>
      <c r="D18" s="73">
        <v>32669.55</v>
      </c>
      <c r="E18" s="42">
        <f t="shared" si="12"/>
        <v>138781.1</v>
      </c>
      <c r="F18" s="60">
        <v>40</v>
      </c>
      <c r="G18" s="61">
        <v>26</v>
      </c>
      <c r="H18" s="26">
        <f t="shared" si="13"/>
        <v>46026</v>
      </c>
      <c r="I18" s="58">
        <f t="shared" si="2"/>
        <v>4</v>
      </c>
      <c r="J18" s="40">
        <f t="shared" si="3"/>
        <v>1</v>
      </c>
      <c r="K18" s="59">
        <v>74279.899999999994</v>
      </c>
      <c r="L18" s="42">
        <f t="shared" si="14"/>
        <v>224312.92</v>
      </c>
      <c r="M18" s="60">
        <v>78</v>
      </c>
      <c r="N18" s="61">
        <v>55</v>
      </c>
      <c r="O18" s="5"/>
      <c r="P18" s="62">
        <f t="shared" si="4"/>
        <v>41610.349999999991</v>
      </c>
      <c r="Q18" s="63">
        <f t="shared" si="5"/>
        <v>1.2736738032816488</v>
      </c>
      <c r="R18" s="64">
        <f t="shared" si="6"/>
        <v>85531.82</v>
      </c>
      <c r="S18" s="65">
        <f t="shared" si="7"/>
        <v>0.61630740785308658</v>
      </c>
      <c r="T18" s="2"/>
      <c r="U18" s="2"/>
      <c r="V18" s="2"/>
      <c r="W18" s="5"/>
      <c r="X18" s="6"/>
      <c r="Y18" s="66">
        <v>4</v>
      </c>
      <c r="Z18" s="50">
        <f t="shared" si="8"/>
        <v>2875.8066666666668</v>
      </c>
      <c r="AA18" s="51">
        <f t="shared" si="9"/>
        <v>4078.4167272727277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45662</v>
      </c>
      <c r="B19" s="58">
        <f t="shared" si="0"/>
        <v>5</v>
      </c>
      <c r="C19" s="40">
        <f t="shared" si="1"/>
        <v>1</v>
      </c>
      <c r="D19" s="73">
        <v>111275.85</v>
      </c>
      <c r="E19" s="42">
        <f t="shared" si="12"/>
        <v>250056.95</v>
      </c>
      <c r="F19" s="60">
        <v>59</v>
      </c>
      <c r="G19" s="61">
        <v>33</v>
      </c>
      <c r="H19" s="26">
        <f t="shared" si="13"/>
        <v>46027</v>
      </c>
      <c r="I19" s="58">
        <f t="shared" si="2"/>
        <v>5</v>
      </c>
      <c r="J19" s="40">
        <f t="shared" si="3"/>
        <v>2</v>
      </c>
      <c r="K19" s="59">
        <v>74602.25</v>
      </c>
      <c r="L19" s="42">
        <f t="shared" si="14"/>
        <v>298915.17000000004</v>
      </c>
      <c r="M19" s="60">
        <v>69</v>
      </c>
      <c r="N19" s="61">
        <v>53</v>
      </c>
      <c r="O19" s="5"/>
      <c r="P19" s="62">
        <f t="shared" si="4"/>
        <v>-36673.600000000006</v>
      </c>
      <c r="Q19" s="63">
        <f t="shared" si="5"/>
        <v>-0.32957375746848938</v>
      </c>
      <c r="R19" s="64">
        <f t="shared" si="6"/>
        <v>48858.22000000003</v>
      </c>
      <c r="S19" s="65">
        <f t="shared" si="7"/>
        <v>0.19538837052919367</v>
      </c>
      <c r="T19" s="2"/>
      <c r="U19" s="2"/>
      <c r="V19" s="2"/>
      <c r="W19" s="5"/>
      <c r="X19" s="6"/>
      <c r="Y19" s="66">
        <v>5</v>
      </c>
      <c r="Z19" s="50">
        <f t="shared" si="8"/>
        <v>4332.1039130434792</v>
      </c>
      <c r="AA19" s="51">
        <f t="shared" si="9"/>
        <v>5639.9088679245287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45663</v>
      </c>
      <c r="B20" s="58">
        <f t="shared" si="0"/>
        <v>6</v>
      </c>
      <c r="C20" s="40">
        <f t="shared" si="1"/>
        <v>2</v>
      </c>
      <c r="D20" s="73">
        <v>83611.149999999994</v>
      </c>
      <c r="E20" s="42">
        <f t="shared" si="12"/>
        <v>333668.09999999998</v>
      </c>
      <c r="F20" s="60">
        <v>47</v>
      </c>
      <c r="G20" s="61">
        <v>30</v>
      </c>
      <c r="H20" s="26">
        <f t="shared" si="13"/>
        <v>46028</v>
      </c>
      <c r="I20" s="58">
        <f t="shared" si="2"/>
        <v>6</v>
      </c>
      <c r="J20" s="40">
        <f t="shared" si="3"/>
        <v>3</v>
      </c>
      <c r="K20" s="59">
        <v>29267.79</v>
      </c>
      <c r="L20" s="42">
        <f t="shared" si="14"/>
        <v>328182.96000000002</v>
      </c>
      <c r="M20" s="60">
        <v>38</v>
      </c>
      <c r="N20" s="61">
        <v>23</v>
      </c>
      <c r="O20" s="5"/>
      <c r="P20" s="62">
        <f t="shared" si="4"/>
        <v>-54343.359999999993</v>
      </c>
      <c r="Q20" s="63">
        <f t="shared" si="5"/>
        <v>-0.64995350500501425</v>
      </c>
      <c r="R20" s="64">
        <f t="shared" si="6"/>
        <v>-5485.1399999999558</v>
      </c>
      <c r="S20" s="65">
        <f t="shared" si="7"/>
        <v>-1.6438910402282847E-2</v>
      </c>
      <c r="T20" s="2"/>
      <c r="U20" s="2"/>
      <c r="V20" s="2"/>
      <c r="W20" s="5"/>
      <c r="X20" s="6"/>
      <c r="Y20" s="66">
        <v>6</v>
      </c>
      <c r="Z20" s="50">
        <f t="shared" si="8"/>
        <v>8636.3936842105268</v>
      </c>
      <c r="AA20" s="51">
        <f t="shared" si="9"/>
        <v>14268.824347826088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45664</v>
      </c>
      <c r="B21" s="58">
        <f t="shared" si="0"/>
        <v>7</v>
      </c>
      <c r="C21" s="40">
        <f t="shared" si="1"/>
        <v>3</v>
      </c>
      <c r="D21" s="73">
        <v>59215.55</v>
      </c>
      <c r="E21" s="42">
        <f t="shared" si="12"/>
        <v>392883.64999999997</v>
      </c>
      <c r="F21" s="60">
        <v>52</v>
      </c>
      <c r="G21" s="61">
        <v>33</v>
      </c>
      <c r="H21" s="26">
        <f t="shared" si="13"/>
        <v>46029</v>
      </c>
      <c r="I21" s="58">
        <f t="shared" si="2"/>
        <v>7</v>
      </c>
      <c r="J21" s="40">
        <f t="shared" si="3"/>
        <v>4</v>
      </c>
      <c r="K21" s="59">
        <v>24108.28</v>
      </c>
      <c r="L21" s="42">
        <f t="shared" si="14"/>
        <v>352291.24</v>
      </c>
      <c r="M21" s="60">
        <v>23</v>
      </c>
      <c r="N21" s="61">
        <v>20</v>
      </c>
      <c r="O21" s="5"/>
      <c r="P21" s="62">
        <f t="shared" si="4"/>
        <v>-35107.270000000004</v>
      </c>
      <c r="Q21" s="63">
        <f t="shared" si="5"/>
        <v>-0.59287248028600592</v>
      </c>
      <c r="R21" s="64">
        <f t="shared" si="6"/>
        <v>-40592.409999999974</v>
      </c>
      <c r="S21" s="65">
        <f t="shared" si="7"/>
        <v>-0.10331916331972579</v>
      </c>
      <c r="T21" s="2"/>
      <c r="U21" s="2"/>
      <c r="V21" s="2"/>
      <c r="W21" s="5"/>
      <c r="X21" s="6"/>
      <c r="Y21" s="66">
        <v>7</v>
      </c>
      <c r="Z21" s="50">
        <f t="shared" si="8"/>
        <v>15317.010434782609</v>
      </c>
      <c r="AA21" s="51">
        <f t="shared" si="9"/>
        <v>17614.561999999998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45665</v>
      </c>
      <c r="B22" s="58">
        <f t="shared" si="0"/>
        <v>8</v>
      </c>
      <c r="C22" s="40">
        <f t="shared" si="1"/>
        <v>4</v>
      </c>
      <c r="D22" s="73">
        <v>37610.15</v>
      </c>
      <c r="E22" s="42">
        <f t="shared" si="12"/>
        <v>430493.8</v>
      </c>
      <c r="F22" s="60">
        <v>9</v>
      </c>
      <c r="G22" s="61">
        <v>8</v>
      </c>
      <c r="H22" s="26">
        <f t="shared" si="13"/>
        <v>46030</v>
      </c>
      <c r="I22" s="58">
        <f t="shared" si="2"/>
        <v>8</v>
      </c>
      <c r="J22" s="40">
        <f t="shared" si="3"/>
        <v>5</v>
      </c>
      <c r="K22" s="59">
        <v>30866.54</v>
      </c>
      <c r="L22" s="42">
        <f t="shared" si="14"/>
        <v>383157.77999999997</v>
      </c>
      <c r="M22" s="60">
        <v>42</v>
      </c>
      <c r="N22" s="61">
        <v>26</v>
      </c>
      <c r="O22" s="5"/>
      <c r="P22" s="62">
        <f t="shared" si="4"/>
        <v>-6743.6100000000006</v>
      </c>
      <c r="Q22" s="63">
        <f t="shared" si="5"/>
        <v>-0.17930292753418964</v>
      </c>
      <c r="R22" s="64">
        <f t="shared" si="6"/>
        <v>-47336.020000000019</v>
      </c>
      <c r="S22" s="65">
        <f t="shared" si="7"/>
        <v>-0.10995749532281307</v>
      </c>
      <c r="T22" s="2"/>
      <c r="U22" s="2"/>
      <c r="V22" s="2"/>
      <c r="W22" s="5"/>
      <c r="X22" s="6"/>
      <c r="Y22" s="66">
        <v>8</v>
      </c>
      <c r="Z22" s="50">
        <f t="shared" si="8"/>
        <v>9122.8042857142846</v>
      </c>
      <c r="AA22" s="51">
        <f t="shared" si="9"/>
        <v>14736.83769230769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45666</v>
      </c>
      <c r="B23" s="58">
        <f t="shared" si="0"/>
        <v>9</v>
      </c>
      <c r="C23" s="40">
        <f t="shared" si="1"/>
        <v>5</v>
      </c>
      <c r="D23" s="73">
        <v>26395.75</v>
      </c>
      <c r="E23" s="42">
        <f t="shared" si="12"/>
        <v>456889.55</v>
      </c>
      <c r="F23" s="60">
        <v>21</v>
      </c>
      <c r="G23" s="61">
        <v>12</v>
      </c>
      <c r="H23" s="26">
        <f t="shared" si="13"/>
        <v>46031</v>
      </c>
      <c r="I23" s="58">
        <f t="shared" si="2"/>
        <v>9</v>
      </c>
      <c r="J23" s="40">
        <f t="shared" si="3"/>
        <v>6</v>
      </c>
      <c r="K23" s="59">
        <v>33599.519999999997</v>
      </c>
      <c r="L23" s="42">
        <f t="shared" si="14"/>
        <v>416757.3</v>
      </c>
      <c r="M23" s="60">
        <v>40</v>
      </c>
      <c r="N23" s="61">
        <v>28</v>
      </c>
      <c r="O23" s="5"/>
      <c r="P23" s="62">
        <f t="shared" si="4"/>
        <v>7203.7699999999968</v>
      </c>
      <c r="Q23" s="63">
        <f t="shared" si="5"/>
        <v>0.27291401077825017</v>
      </c>
      <c r="R23" s="64">
        <f t="shared" si="6"/>
        <v>-40132.25</v>
      </c>
      <c r="S23" s="65">
        <f t="shared" si="7"/>
        <v>-8.7837968716947046E-2</v>
      </c>
      <c r="T23" s="2"/>
      <c r="U23" s="2"/>
      <c r="V23" s="2"/>
      <c r="W23" s="5"/>
      <c r="X23" s="6"/>
      <c r="Y23" s="66">
        <v>9</v>
      </c>
      <c r="Z23" s="50">
        <f t="shared" si="8"/>
        <v>10418.932499999999</v>
      </c>
      <c r="AA23" s="51">
        <f t="shared" si="9"/>
        <v>14884.189285714285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45667</v>
      </c>
      <c r="B24" s="58">
        <f t="shared" si="0"/>
        <v>10</v>
      </c>
      <c r="C24" s="40">
        <f t="shared" si="1"/>
        <v>6</v>
      </c>
      <c r="D24" s="73">
        <v>17830.8</v>
      </c>
      <c r="E24" s="42">
        <f t="shared" si="12"/>
        <v>474720.35</v>
      </c>
      <c r="F24" s="60">
        <v>15</v>
      </c>
      <c r="G24" s="61">
        <v>10</v>
      </c>
      <c r="H24" s="26">
        <f t="shared" si="13"/>
        <v>46032</v>
      </c>
      <c r="I24" s="58">
        <f t="shared" si="2"/>
        <v>10</v>
      </c>
      <c r="J24" s="40">
        <f t="shared" si="3"/>
        <v>7</v>
      </c>
      <c r="K24" s="59">
        <v>80093.56</v>
      </c>
      <c r="L24" s="42">
        <f t="shared" si="14"/>
        <v>496850.86</v>
      </c>
      <c r="M24" s="60">
        <v>76</v>
      </c>
      <c r="N24" s="61">
        <v>50</v>
      </c>
      <c r="O24" s="5"/>
      <c r="P24" s="62">
        <f t="shared" si="4"/>
        <v>62262.759999999995</v>
      </c>
      <c r="Q24" s="63">
        <f t="shared" si="5"/>
        <v>3.4918657603696976</v>
      </c>
      <c r="R24" s="64">
        <f t="shared" si="6"/>
        <v>22130.510000000009</v>
      </c>
      <c r="S24" s="65">
        <f t="shared" si="7"/>
        <v>4.6617993098463151E-2</v>
      </c>
      <c r="T24" s="2"/>
      <c r="U24" s="2"/>
      <c r="V24" s="2"/>
      <c r="W24" s="5"/>
      <c r="X24" s="6"/>
      <c r="Y24" s="66">
        <v>10</v>
      </c>
      <c r="Z24" s="50">
        <f t="shared" si="8"/>
        <v>6537.5113157894739</v>
      </c>
      <c r="AA24" s="51">
        <f t="shared" si="9"/>
        <v>9937.0172000000002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45668</v>
      </c>
      <c r="B25" s="58">
        <f t="shared" si="0"/>
        <v>11</v>
      </c>
      <c r="C25" s="40">
        <f t="shared" si="1"/>
        <v>7</v>
      </c>
      <c r="D25" s="73">
        <v>33752.050000000003</v>
      </c>
      <c r="E25" s="42">
        <f t="shared" si="12"/>
        <v>508472.39999999997</v>
      </c>
      <c r="F25" s="60">
        <v>17</v>
      </c>
      <c r="G25" s="61">
        <v>11</v>
      </c>
      <c r="H25" s="26">
        <f t="shared" si="13"/>
        <v>46033</v>
      </c>
      <c r="I25" s="58">
        <f t="shared" si="2"/>
        <v>11</v>
      </c>
      <c r="J25" s="40">
        <f t="shared" si="3"/>
        <v>1</v>
      </c>
      <c r="K25" s="59">
        <v>53020.83</v>
      </c>
      <c r="L25" s="42">
        <f t="shared" si="14"/>
        <v>549871.68999999994</v>
      </c>
      <c r="M25" s="60">
        <v>56</v>
      </c>
      <c r="N25" s="61">
        <v>34</v>
      </c>
      <c r="O25" s="5"/>
      <c r="P25" s="62">
        <f t="shared" si="4"/>
        <v>19268.78</v>
      </c>
      <c r="Q25" s="63">
        <f t="shared" si="5"/>
        <v>0.5708921384034451</v>
      </c>
      <c r="R25" s="64">
        <f t="shared" si="6"/>
        <v>41399.289999999979</v>
      </c>
      <c r="S25" s="65">
        <f t="shared" si="7"/>
        <v>8.1418952139781897E-2</v>
      </c>
      <c r="T25" s="2"/>
      <c r="U25" s="2"/>
      <c r="V25" s="2"/>
      <c r="W25" s="5"/>
      <c r="X25" s="6"/>
      <c r="Y25" s="66">
        <v>11</v>
      </c>
      <c r="Z25" s="50">
        <f t="shared" si="8"/>
        <v>9819.1373214285704</v>
      </c>
      <c r="AA25" s="51">
        <f t="shared" si="9"/>
        <v>16172.696764705881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45669</v>
      </c>
      <c r="B26" s="58">
        <f t="shared" si="0"/>
        <v>12</v>
      </c>
      <c r="C26" s="40">
        <f t="shared" si="1"/>
        <v>1</v>
      </c>
      <c r="D26" s="73">
        <v>40197.949999999997</v>
      </c>
      <c r="E26" s="42">
        <f t="shared" si="12"/>
        <v>548670.35</v>
      </c>
      <c r="F26" s="60">
        <v>18</v>
      </c>
      <c r="G26" s="61">
        <v>14</v>
      </c>
      <c r="H26" s="26">
        <f t="shared" si="13"/>
        <v>46034</v>
      </c>
      <c r="I26" s="58">
        <f t="shared" si="2"/>
        <v>12</v>
      </c>
      <c r="J26" s="40">
        <f t="shared" si="3"/>
        <v>2</v>
      </c>
      <c r="K26" s="59">
        <v>28957.43</v>
      </c>
      <c r="L26" s="42">
        <f t="shared" si="14"/>
        <v>578829.12</v>
      </c>
      <c r="M26" s="60">
        <v>33</v>
      </c>
      <c r="N26" s="61">
        <v>22</v>
      </c>
      <c r="O26" s="5"/>
      <c r="P26" s="62">
        <f t="shared" si="4"/>
        <v>-11240.519999999997</v>
      </c>
      <c r="Q26" s="63">
        <f t="shared" si="5"/>
        <v>-0.27962918507038292</v>
      </c>
      <c r="R26" s="64">
        <f t="shared" si="6"/>
        <v>30158.770000000019</v>
      </c>
      <c r="S26" s="65">
        <f t="shared" si="7"/>
        <v>5.496701252400471E-2</v>
      </c>
      <c r="T26" s="2"/>
      <c r="U26" s="2"/>
      <c r="V26" s="2"/>
      <c r="W26" s="5"/>
      <c r="X26" s="6"/>
      <c r="Y26" s="66">
        <v>12</v>
      </c>
      <c r="Z26" s="50">
        <f t="shared" si="8"/>
        <v>17540.276363636363</v>
      </c>
      <c r="AA26" s="51">
        <f t="shared" si="9"/>
        <v>26310.414545454547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45670</v>
      </c>
      <c r="B27" s="58">
        <f t="shared" si="0"/>
        <v>13</v>
      </c>
      <c r="C27" s="40">
        <f t="shared" si="1"/>
        <v>2</v>
      </c>
      <c r="D27" s="73">
        <v>39928.5</v>
      </c>
      <c r="E27" s="42">
        <f t="shared" si="12"/>
        <v>588598.85</v>
      </c>
      <c r="F27" s="60">
        <v>52</v>
      </c>
      <c r="G27" s="61">
        <v>29</v>
      </c>
      <c r="H27" s="26">
        <f t="shared" si="13"/>
        <v>46035</v>
      </c>
      <c r="I27" s="58">
        <f t="shared" si="2"/>
        <v>13</v>
      </c>
      <c r="J27" s="40">
        <f t="shared" si="3"/>
        <v>3</v>
      </c>
      <c r="K27" s="59">
        <v>20461.89</v>
      </c>
      <c r="L27" s="42">
        <f t="shared" si="14"/>
        <v>599291.01</v>
      </c>
      <c r="M27" s="60">
        <v>20</v>
      </c>
      <c r="N27" s="61">
        <v>14</v>
      </c>
      <c r="O27" s="5"/>
      <c r="P27" s="62">
        <f t="shared" si="4"/>
        <v>-19466.61</v>
      </c>
      <c r="Q27" s="63">
        <f t="shared" si="5"/>
        <v>-0.48753672189037911</v>
      </c>
      <c r="R27" s="64">
        <f t="shared" si="6"/>
        <v>10692.160000000033</v>
      </c>
      <c r="S27" s="65">
        <f t="shared" si="7"/>
        <v>1.8165444937583652E-2</v>
      </c>
      <c r="T27" s="2"/>
      <c r="U27" s="2"/>
      <c r="V27" s="2"/>
      <c r="W27" s="5"/>
      <c r="X27" s="6"/>
      <c r="Y27" s="66">
        <v>13</v>
      </c>
      <c r="Z27" s="50">
        <f t="shared" si="8"/>
        <v>29964.550500000001</v>
      </c>
      <c r="AA27" s="51">
        <f t="shared" si="9"/>
        <v>42806.500714285714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45671</v>
      </c>
      <c r="B28" s="58">
        <f t="shared" si="0"/>
        <v>14</v>
      </c>
      <c r="C28" s="40">
        <f t="shared" si="1"/>
        <v>3</v>
      </c>
      <c r="D28" s="73">
        <v>55499.65</v>
      </c>
      <c r="E28" s="42">
        <f t="shared" si="12"/>
        <v>644098.5</v>
      </c>
      <c r="F28" s="60">
        <v>33</v>
      </c>
      <c r="G28" s="61">
        <v>26</v>
      </c>
      <c r="H28" s="26">
        <f t="shared" si="13"/>
        <v>46036</v>
      </c>
      <c r="I28" s="58">
        <f t="shared" si="2"/>
        <v>14</v>
      </c>
      <c r="J28" s="40">
        <f t="shared" si="3"/>
        <v>4</v>
      </c>
      <c r="K28" s="59">
        <v>35367.67</v>
      </c>
      <c r="L28" s="42">
        <f t="shared" si="14"/>
        <v>634658.68000000005</v>
      </c>
      <c r="M28" s="60">
        <v>39</v>
      </c>
      <c r="N28" s="61">
        <v>23</v>
      </c>
      <c r="O28" s="5"/>
      <c r="P28" s="62">
        <f t="shared" si="4"/>
        <v>-20131.980000000003</v>
      </c>
      <c r="Q28" s="63">
        <f t="shared" si="5"/>
        <v>-0.3627406659321275</v>
      </c>
      <c r="R28" s="64">
        <f t="shared" si="6"/>
        <v>-9439.8199999999488</v>
      </c>
      <c r="S28" s="65">
        <f t="shared" si="7"/>
        <v>-1.4655863971116179E-2</v>
      </c>
      <c r="T28" s="2"/>
      <c r="U28" s="2"/>
      <c r="V28" s="2"/>
      <c r="W28" s="5"/>
      <c r="X28" s="6"/>
      <c r="Y28" s="66">
        <v>14</v>
      </c>
      <c r="Z28" s="50">
        <f t="shared" si="8"/>
        <v>16273.299487179489</v>
      </c>
      <c r="AA28" s="51">
        <f t="shared" si="9"/>
        <v>27593.855652173916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45672</v>
      </c>
      <c r="B29" s="58">
        <f t="shared" si="0"/>
        <v>15</v>
      </c>
      <c r="C29" s="40">
        <f t="shared" si="1"/>
        <v>4</v>
      </c>
      <c r="D29" s="73">
        <v>37824.35</v>
      </c>
      <c r="E29" s="42">
        <f t="shared" si="12"/>
        <v>681922.85</v>
      </c>
      <c r="F29" s="60">
        <v>21</v>
      </c>
      <c r="G29" s="61">
        <v>13</v>
      </c>
      <c r="H29" s="26">
        <f t="shared" si="13"/>
        <v>46037</v>
      </c>
      <c r="I29" s="58">
        <f t="shared" si="2"/>
        <v>15</v>
      </c>
      <c r="J29" s="40">
        <f t="shared" si="3"/>
        <v>5</v>
      </c>
      <c r="K29" s="59">
        <v>16967.07</v>
      </c>
      <c r="L29" s="42">
        <f t="shared" si="14"/>
        <v>651625.75</v>
      </c>
      <c r="M29" s="60">
        <v>17</v>
      </c>
      <c r="N29" s="61">
        <v>14</v>
      </c>
      <c r="O29" s="5"/>
      <c r="P29" s="62">
        <f t="shared" si="4"/>
        <v>-20857.28</v>
      </c>
      <c r="Q29" s="63">
        <f t="shared" si="5"/>
        <v>-0.55142467748950086</v>
      </c>
      <c r="R29" s="64">
        <f t="shared" si="6"/>
        <v>-30297.099999999977</v>
      </c>
      <c r="S29" s="65">
        <f t="shared" si="7"/>
        <v>-4.4428926234103994E-2</v>
      </c>
      <c r="T29" s="2"/>
      <c r="U29" s="2"/>
      <c r="V29" s="2"/>
      <c r="W29" s="5"/>
      <c r="X29" s="6"/>
      <c r="Y29" s="66">
        <v>15</v>
      </c>
      <c r="Z29" s="50">
        <f t="shared" si="8"/>
        <v>38330.926470588238</v>
      </c>
      <c r="AA29" s="51">
        <f t="shared" si="9"/>
        <v>46544.696428571428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45673</v>
      </c>
      <c r="B30" s="58">
        <f t="shared" si="0"/>
        <v>16</v>
      </c>
      <c r="C30" s="40">
        <f t="shared" si="1"/>
        <v>5</v>
      </c>
      <c r="D30" s="73">
        <v>29684.3</v>
      </c>
      <c r="E30" s="42">
        <f t="shared" si="12"/>
        <v>711607.15</v>
      </c>
      <c r="F30" s="60">
        <v>10</v>
      </c>
      <c r="G30" s="61">
        <v>9</v>
      </c>
      <c r="H30" s="26">
        <f t="shared" si="13"/>
        <v>46038</v>
      </c>
      <c r="I30" s="58">
        <f t="shared" si="2"/>
        <v>16</v>
      </c>
      <c r="J30" s="40">
        <f t="shared" si="3"/>
        <v>6</v>
      </c>
      <c r="K30" s="59">
        <v>31804.32</v>
      </c>
      <c r="L30" s="42">
        <f t="shared" si="14"/>
        <v>683430.07</v>
      </c>
      <c r="M30" s="60">
        <v>33</v>
      </c>
      <c r="N30" s="61">
        <v>22</v>
      </c>
      <c r="O30" s="5"/>
      <c r="P30" s="62">
        <f t="shared" si="4"/>
        <v>2120.0200000000004</v>
      </c>
      <c r="Q30" s="63">
        <f t="shared" si="5"/>
        <v>7.1418898205448667E-2</v>
      </c>
      <c r="R30" s="64">
        <f t="shared" si="6"/>
        <v>-28177.080000000075</v>
      </c>
      <c r="S30" s="65">
        <f t="shared" si="7"/>
        <v>-3.9596398096899521E-2</v>
      </c>
      <c r="T30" s="2"/>
      <c r="U30" s="2"/>
      <c r="V30" s="2"/>
      <c r="W30" s="5"/>
      <c r="X30" s="6"/>
      <c r="Y30" s="66">
        <v>16</v>
      </c>
      <c r="Z30" s="50">
        <f t="shared" si="8"/>
        <v>20710.002121212121</v>
      </c>
      <c r="AA30" s="51">
        <f t="shared" si="9"/>
        <v>31065.003181818178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45674</v>
      </c>
      <c r="B31" s="58">
        <f t="shared" si="0"/>
        <v>17</v>
      </c>
      <c r="C31" s="40">
        <f t="shared" si="1"/>
        <v>6</v>
      </c>
      <c r="D31" s="73">
        <v>69051.649999999994</v>
      </c>
      <c r="E31" s="42">
        <f t="shared" si="12"/>
        <v>780658.8</v>
      </c>
      <c r="F31" s="60">
        <v>22</v>
      </c>
      <c r="G31" s="61">
        <v>12</v>
      </c>
      <c r="H31" s="26">
        <f t="shared" si="13"/>
        <v>46039</v>
      </c>
      <c r="I31" s="58">
        <f t="shared" si="2"/>
        <v>17</v>
      </c>
      <c r="J31" s="40">
        <f t="shared" si="3"/>
        <v>7</v>
      </c>
      <c r="K31" s="59">
        <v>58261.04</v>
      </c>
      <c r="L31" s="42">
        <f t="shared" si="14"/>
        <v>741691.11</v>
      </c>
      <c r="M31" s="60">
        <v>56</v>
      </c>
      <c r="N31" s="61">
        <v>38</v>
      </c>
      <c r="O31" s="5"/>
      <c r="P31" s="62">
        <f t="shared" si="4"/>
        <v>-10790.609999999993</v>
      </c>
      <c r="Q31" s="63">
        <f t="shared" si="5"/>
        <v>-0.15626867714239989</v>
      </c>
      <c r="R31" s="64">
        <f t="shared" si="6"/>
        <v>-38967.690000000061</v>
      </c>
      <c r="S31" s="65">
        <f t="shared" si="7"/>
        <v>-4.99164167495455E-2</v>
      </c>
      <c r="T31" s="2"/>
      <c r="U31" s="2"/>
      <c r="V31" s="2"/>
      <c r="W31" s="5"/>
      <c r="X31" s="6"/>
      <c r="Y31" s="66">
        <v>17</v>
      </c>
      <c r="Z31" s="50">
        <f t="shared" si="8"/>
        <v>13244.484107142856</v>
      </c>
      <c r="AA31" s="51">
        <f t="shared" si="9"/>
        <v>19518.187105263158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45675</v>
      </c>
      <c r="B32" s="58">
        <f t="shared" si="0"/>
        <v>18</v>
      </c>
      <c r="C32" s="40">
        <f t="shared" si="1"/>
        <v>7</v>
      </c>
      <c r="D32" s="73">
        <v>25593.95</v>
      </c>
      <c r="E32" s="42">
        <f t="shared" si="12"/>
        <v>806252.75</v>
      </c>
      <c r="F32" s="60">
        <v>16</v>
      </c>
      <c r="G32" s="61">
        <v>9</v>
      </c>
      <c r="H32" s="26">
        <f t="shared" si="13"/>
        <v>46040</v>
      </c>
      <c r="I32" s="58">
        <f t="shared" si="2"/>
        <v>18</v>
      </c>
      <c r="J32" s="40">
        <f t="shared" si="3"/>
        <v>1</v>
      </c>
      <c r="K32" s="59">
        <v>73149.759999999995</v>
      </c>
      <c r="L32" s="42">
        <f t="shared" si="14"/>
        <v>814840.87</v>
      </c>
      <c r="M32" s="60">
        <v>78</v>
      </c>
      <c r="N32" s="61">
        <v>52</v>
      </c>
      <c r="O32" s="5"/>
      <c r="P32" s="62">
        <f t="shared" si="4"/>
        <v>47555.81</v>
      </c>
      <c r="Q32" s="63">
        <f t="shared" si="5"/>
        <v>1.8580879465654965</v>
      </c>
      <c r="R32" s="64">
        <f t="shared" si="6"/>
        <v>8588.1199999999953</v>
      </c>
      <c r="S32" s="65">
        <f t="shared" si="7"/>
        <v>1.0651895450899174E-2</v>
      </c>
      <c r="T32" s="2"/>
      <c r="U32" s="2"/>
      <c r="V32" s="2"/>
      <c r="W32" s="5"/>
      <c r="X32" s="6"/>
      <c r="Y32" s="66">
        <v>18</v>
      </c>
      <c r="Z32" s="50">
        <f t="shared" si="8"/>
        <v>10446.677820512821</v>
      </c>
      <c r="AA32" s="51">
        <f t="shared" si="9"/>
        <v>15670.01673076923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45676</v>
      </c>
      <c r="B33" s="58">
        <f t="shared" si="0"/>
        <v>19</v>
      </c>
      <c r="C33" s="40">
        <f t="shared" si="1"/>
        <v>1</v>
      </c>
      <c r="D33" s="73">
        <v>50198.15</v>
      </c>
      <c r="E33" s="42">
        <f t="shared" si="12"/>
        <v>856450.9</v>
      </c>
      <c r="F33" s="60">
        <v>23</v>
      </c>
      <c r="G33" s="61">
        <v>12</v>
      </c>
      <c r="H33" s="26">
        <f t="shared" si="13"/>
        <v>46041</v>
      </c>
      <c r="I33" s="58">
        <f t="shared" si="2"/>
        <v>19</v>
      </c>
      <c r="J33" s="40">
        <f t="shared" si="3"/>
        <v>2</v>
      </c>
      <c r="K33" s="59">
        <v>21313.81</v>
      </c>
      <c r="L33" s="42">
        <f t="shared" si="14"/>
        <v>836154.68</v>
      </c>
      <c r="M33" s="60">
        <v>20</v>
      </c>
      <c r="N33" s="61">
        <v>16</v>
      </c>
      <c r="O33" s="5"/>
      <c r="P33" s="62">
        <f t="shared" si="4"/>
        <v>-28884.34</v>
      </c>
      <c r="Q33" s="63">
        <f t="shared" si="5"/>
        <v>-0.57540646418244501</v>
      </c>
      <c r="R33" s="64">
        <f t="shared" si="6"/>
        <v>-20296.219999999972</v>
      </c>
      <c r="S33" s="65">
        <f t="shared" si="7"/>
        <v>-2.3698054377664812E-2</v>
      </c>
      <c r="T33" s="2"/>
      <c r="U33" s="2"/>
      <c r="V33" s="2"/>
      <c r="W33" s="5"/>
      <c r="X33" s="6"/>
      <c r="Y33" s="66">
        <v>19</v>
      </c>
      <c r="Z33" s="50">
        <f t="shared" si="8"/>
        <v>41807.734000000004</v>
      </c>
      <c r="AA33" s="51">
        <f t="shared" si="9"/>
        <v>52259.667500000003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45677</v>
      </c>
      <c r="B34" s="58">
        <f t="shared" si="0"/>
        <v>20</v>
      </c>
      <c r="C34" s="40">
        <f t="shared" si="1"/>
        <v>2</v>
      </c>
      <c r="D34" s="73">
        <v>57732.05</v>
      </c>
      <c r="E34" s="42">
        <f t="shared" si="12"/>
        <v>914182.95000000007</v>
      </c>
      <c r="F34" s="60">
        <v>41</v>
      </c>
      <c r="G34" s="61">
        <v>14</v>
      </c>
      <c r="H34" s="26">
        <f t="shared" si="13"/>
        <v>46042</v>
      </c>
      <c r="I34" s="58">
        <f t="shared" si="2"/>
        <v>20</v>
      </c>
      <c r="J34" s="40">
        <f t="shared" si="3"/>
        <v>3</v>
      </c>
      <c r="K34" s="59">
        <v>30849.16</v>
      </c>
      <c r="L34" s="42">
        <f t="shared" si="14"/>
        <v>867003.84000000008</v>
      </c>
      <c r="M34" s="60">
        <v>27</v>
      </c>
      <c r="N34" s="61">
        <v>19</v>
      </c>
      <c r="O34" s="5"/>
      <c r="P34" s="62">
        <f t="shared" si="4"/>
        <v>-26882.890000000003</v>
      </c>
      <c r="Q34" s="63">
        <f t="shared" si="5"/>
        <v>-0.46564932303633777</v>
      </c>
      <c r="R34" s="64">
        <f t="shared" si="6"/>
        <v>-47179.109999999986</v>
      </c>
      <c r="S34" s="65">
        <f t="shared" si="7"/>
        <v>-5.1607952215691588E-2</v>
      </c>
      <c r="T34" s="2"/>
      <c r="U34" s="2"/>
      <c r="V34" s="2"/>
      <c r="W34" s="5"/>
      <c r="X34" s="6"/>
      <c r="Y34" s="66">
        <v>20</v>
      </c>
      <c r="Z34" s="50">
        <f t="shared" si="8"/>
        <v>32111.253333333338</v>
      </c>
      <c r="AA34" s="51">
        <f t="shared" si="9"/>
        <v>45631.781052631581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45678</v>
      </c>
      <c r="B35" s="58">
        <f t="shared" si="0"/>
        <v>21</v>
      </c>
      <c r="C35" s="40">
        <f t="shared" si="1"/>
        <v>3</v>
      </c>
      <c r="D35" s="73">
        <v>83402.399999999994</v>
      </c>
      <c r="E35" s="42">
        <f t="shared" si="12"/>
        <v>997585.35000000009</v>
      </c>
      <c r="F35" s="60">
        <v>39</v>
      </c>
      <c r="G35" s="61">
        <v>24</v>
      </c>
      <c r="H35" s="26">
        <f t="shared" si="13"/>
        <v>46043</v>
      </c>
      <c r="I35" s="58">
        <f t="shared" si="2"/>
        <v>21</v>
      </c>
      <c r="J35" s="40">
        <f t="shared" si="3"/>
        <v>4</v>
      </c>
      <c r="K35" s="59">
        <v>25692.75</v>
      </c>
      <c r="L35" s="42">
        <f t="shared" si="14"/>
        <v>892696.59000000008</v>
      </c>
      <c r="M35" s="60">
        <v>20</v>
      </c>
      <c r="N35" s="61">
        <v>15</v>
      </c>
      <c r="O35" s="5"/>
      <c r="P35" s="62">
        <f t="shared" si="4"/>
        <v>-57709.649999999994</v>
      </c>
      <c r="Q35" s="63">
        <f t="shared" si="5"/>
        <v>-0.69194231820667029</v>
      </c>
      <c r="R35" s="64">
        <f t="shared" si="6"/>
        <v>-104888.76000000001</v>
      </c>
      <c r="S35" s="65">
        <f t="shared" si="7"/>
        <v>-0.10514264268215245</v>
      </c>
      <c r="T35" s="2"/>
      <c r="U35" s="2"/>
      <c r="V35" s="2"/>
      <c r="W35" s="5"/>
      <c r="X35" s="6"/>
      <c r="Y35" s="66">
        <v>21</v>
      </c>
      <c r="Z35" s="50">
        <f t="shared" si="8"/>
        <v>44634.829500000007</v>
      </c>
      <c r="AA35" s="51">
        <f t="shared" si="9"/>
        <v>59513.106000000007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45679</v>
      </c>
      <c r="B36" s="58">
        <f t="shared" si="0"/>
        <v>22</v>
      </c>
      <c r="C36" s="40">
        <f t="shared" si="1"/>
        <v>4</v>
      </c>
      <c r="D36" s="73">
        <v>29382.7</v>
      </c>
      <c r="E36" s="42">
        <f t="shared" si="12"/>
        <v>1026968.05</v>
      </c>
      <c r="F36" s="60">
        <v>13</v>
      </c>
      <c r="G36" s="61">
        <v>10</v>
      </c>
      <c r="H36" s="26">
        <f t="shared" si="13"/>
        <v>46044</v>
      </c>
      <c r="I36" s="58">
        <f t="shared" si="2"/>
        <v>22</v>
      </c>
      <c r="J36" s="40">
        <f t="shared" si="3"/>
        <v>5</v>
      </c>
      <c r="K36" s="59">
        <v>32252.9</v>
      </c>
      <c r="L36" s="42">
        <f t="shared" si="14"/>
        <v>924949.49000000011</v>
      </c>
      <c r="M36" s="60">
        <v>29</v>
      </c>
      <c r="N36" s="61">
        <v>20</v>
      </c>
      <c r="O36" s="5"/>
      <c r="P36" s="62">
        <f t="shared" si="4"/>
        <v>2870.2000000000007</v>
      </c>
      <c r="Q36" s="63">
        <f t="shared" si="5"/>
        <v>9.7683330667365453E-2</v>
      </c>
      <c r="R36" s="64">
        <f t="shared" si="6"/>
        <v>-102018.55999999994</v>
      </c>
      <c r="S36" s="65">
        <f t="shared" si="7"/>
        <v>-9.9339565627187709E-2</v>
      </c>
      <c r="T36" s="2"/>
      <c r="U36" s="2"/>
      <c r="V36" s="2"/>
      <c r="W36" s="5"/>
      <c r="X36" s="6"/>
      <c r="Y36" s="66">
        <v>22</v>
      </c>
      <c r="Z36" s="50">
        <f t="shared" si="8"/>
        <v>31894.810000000005</v>
      </c>
      <c r="AA36" s="51">
        <f t="shared" si="9"/>
        <v>46247.474500000004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45680</v>
      </c>
      <c r="B37" s="58">
        <f t="shared" si="0"/>
        <v>23</v>
      </c>
      <c r="C37" s="40">
        <f t="shared" si="1"/>
        <v>5</v>
      </c>
      <c r="D37" s="73">
        <v>22816.05</v>
      </c>
      <c r="E37" s="42">
        <f t="shared" si="12"/>
        <v>1049784.1000000001</v>
      </c>
      <c r="F37" s="60">
        <v>5</v>
      </c>
      <c r="G37" s="61">
        <v>6</v>
      </c>
      <c r="H37" s="26">
        <f t="shared" si="13"/>
        <v>46045</v>
      </c>
      <c r="I37" s="58">
        <f t="shared" si="2"/>
        <v>23</v>
      </c>
      <c r="J37" s="40">
        <f t="shared" si="3"/>
        <v>6</v>
      </c>
      <c r="K37" s="59">
        <v>28256.799999999999</v>
      </c>
      <c r="L37" s="42">
        <f t="shared" si="14"/>
        <v>953206.29000000015</v>
      </c>
      <c r="M37" s="60">
        <v>28</v>
      </c>
      <c r="N37" s="61">
        <v>22</v>
      </c>
      <c r="O37" s="5"/>
      <c r="P37" s="62">
        <f t="shared" si="4"/>
        <v>5440.75</v>
      </c>
      <c r="Q37" s="63">
        <f t="shared" si="5"/>
        <v>0.23846152160430933</v>
      </c>
      <c r="R37" s="64">
        <f t="shared" si="6"/>
        <v>-96577.809999999939</v>
      </c>
      <c r="S37" s="65">
        <f t="shared" si="7"/>
        <v>-9.1997783163223712E-2</v>
      </c>
      <c r="T37" s="2"/>
      <c r="U37" s="2"/>
      <c r="V37" s="2"/>
      <c r="W37" s="5"/>
      <c r="X37" s="6"/>
      <c r="Y37" s="66">
        <v>23</v>
      </c>
      <c r="Z37" s="50">
        <f t="shared" si="8"/>
        <v>34043.08178571429</v>
      </c>
      <c r="AA37" s="51">
        <f t="shared" si="9"/>
        <v>43327.558636363647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45681</v>
      </c>
      <c r="B38" s="58">
        <f t="shared" si="0"/>
        <v>24</v>
      </c>
      <c r="C38" s="40">
        <f t="shared" si="1"/>
        <v>6</v>
      </c>
      <c r="D38" s="73">
        <v>46146.8</v>
      </c>
      <c r="E38" s="42">
        <f t="shared" si="12"/>
        <v>1095930.9000000001</v>
      </c>
      <c r="F38" s="60">
        <v>13</v>
      </c>
      <c r="G38" s="61">
        <v>7</v>
      </c>
      <c r="H38" s="26">
        <f t="shared" si="13"/>
        <v>46046</v>
      </c>
      <c r="I38" s="58">
        <f t="shared" si="2"/>
        <v>24</v>
      </c>
      <c r="J38" s="40">
        <f t="shared" si="3"/>
        <v>7</v>
      </c>
      <c r="K38" s="59">
        <v>51201.33</v>
      </c>
      <c r="L38" s="42">
        <f t="shared" si="14"/>
        <v>1004407.6200000001</v>
      </c>
      <c r="M38" s="60">
        <v>50</v>
      </c>
      <c r="N38" s="61">
        <v>34</v>
      </c>
      <c r="O38" s="5"/>
      <c r="P38" s="62">
        <f t="shared" si="4"/>
        <v>5054.5299999999988</v>
      </c>
      <c r="Q38" s="63">
        <f t="shared" si="5"/>
        <v>0.1095315384815414</v>
      </c>
      <c r="R38" s="64">
        <f t="shared" si="6"/>
        <v>-91523.280000000028</v>
      </c>
      <c r="S38" s="65">
        <f t="shared" si="7"/>
        <v>-8.3511907548185715E-2</v>
      </c>
      <c r="T38" s="2"/>
      <c r="U38" s="2"/>
      <c r="V38" s="2"/>
      <c r="W38" s="5"/>
      <c r="X38" s="6"/>
      <c r="Y38" s="66">
        <v>24</v>
      </c>
      <c r="Z38" s="50">
        <f t="shared" si="8"/>
        <v>20088.152400000003</v>
      </c>
      <c r="AA38" s="51">
        <f t="shared" si="9"/>
        <v>29541.400588235298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45682</v>
      </c>
      <c r="B39" s="58">
        <f t="shared" si="0"/>
        <v>25</v>
      </c>
      <c r="C39" s="40">
        <f t="shared" si="1"/>
        <v>7</v>
      </c>
      <c r="D39" s="73">
        <v>62504.6</v>
      </c>
      <c r="E39" s="42">
        <f t="shared" si="12"/>
        <v>1158435.5000000002</v>
      </c>
      <c r="F39" s="60">
        <v>10</v>
      </c>
      <c r="G39" s="61">
        <v>7</v>
      </c>
      <c r="H39" s="26">
        <f t="shared" si="13"/>
        <v>46047</v>
      </c>
      <c r="I39" s="58">
        <f t="shared" si="2"/>
        <v>25</v>
      </c>
      <c r="J39" s="40">
        <f t="shared" si="3"/>
        <v>1</v>
      </c>
      <c r="K39" s="59">
        <v>55776.83</v>
      </c>
      <c r="L39" s="42">
        <f t="shared" si="14"/>
        <v>1060184.4500000002</v>
      </c>
      <c r="M39" s="60">
        <v>46</v>
      </c>
      <c r="N39" s="61">
        <v>32</v>
      </c>
      <c r="O39" s="5"/>
      <c r="P39" s="62">
        <f t="shared" si="4"/>
        <v>-6727.7699999999968</v>
      </c>
      <c r="Q39" s="63">
        <f t="shared" si="5"/>
        <v>-0.10763639796111002</v>
      </c>
      <c r="R39" s="64">
        <f t="shared" si="6"/>
        <v>-98251.050000000047</v>
      </c>
      <c r="S39" s="65">
        <f t="shared" si="7"/>
        <v>-8.4813569680832535E-2</v>
      </c>
      <c r="T39" s="2"/>
      <c r="U39" s="2"/>
      <c r="V39" s="2"/>
      <c r="W39" s="5"/>
      <c r="X39" s="6"/>
      <c r="Y39" s="66">
        <v>25</v>
      </c>
      <c r="Z39" s="50">
        <f t="shared" si="8"/>
        <v>23047.488043478264</v>
      </c>
      <c r="AA39" s="51">
        <f t="shared" si="9"/>
        <v>33130.764062500006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45683</v>
      </c>
      <c r="B40" s="58">
        <f t="shared" si="0"/>
        <v>26</v>
      </c>
      <c r="C40" s="40">
        <f t="shared" si="1"/>
        <v>1</v>
      </c>
      <c r="D40" s="73">
        <v>28323</v>
      </c>
      <c r="E40" s="42">
        <f t="shared" si="12"/>
        <v>1186758.5000000002</v>
      </c>
      <c r="F40" s="60">
        <v>15</v>
      </c>
      <c r="G40" s="61">
        <v>11</v>
      </c>
      <c r="H40" s="26">
        <f t="shared" si="13"/>
        <v>46048</v>
      </c>
      <c r="I40" s="58">
        <f t="shared" si="2"/>
        <v>26</v>
      </c>
      <c r="J40" s="40">
        <f t="shared" si="3"/>
        <v>2</v>
      </c>
      <c r="K40" s="59">
        <v>23057.360000000001</v>
      </c>
      <c r="L40" s="42">
        <f t="shared" si="14"/>
        <v>1083241.8100000003</v>
      </c>
      <c r="M40" s="60">
        <v>20</v>
      </c>
      <c r="N40" s="61">
        <v>16</v>
      </c>
      <c r="O40" s="5"/>
      <c r="P40" s="62">
        <f t="shared" si="4"/>
        <v>-5265.6399999999994</v>
      </c>
      <c r="Q40" s="63">
        <f t="shared" si="5"/>
        <v>-0.18591392154785857</v>
      </c>
      <c r="R40" s="64">
        <f t="shared" si="6"/>
        <v>-103516.68999999994</v>
      </c>
      <c r="S40" s="65">
        <f t="shared" si="7"/>
        <v>-8.72264154838579E-2</v>
      </c>
      <c r="T40" s="2"/>
      <c r="U40" s="2"/>
      <c r="V40" s="2"/>
      <c r="W40" s="5"/>
      <c r="X40" s="6"/>
      <c r="Y40" s="66">
        <v>26</v>
      </c>
      <c r="Z40" s="50">
        <f t="shared" si="8"/>
        <v>54162.090500000013</v>
      </c>
      <c r="AA40" s="51">
        <f t="shared" si="9"/>
        <v>67702.613125000018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45684</v>
      </c>
      <c r="B41" s="58">
        <f t="shared" si="0"/>
        <v>27</v>
      </c>
      <c r="C41" s="40">
        <f t="shared" si="1"/>
        <v>2</v>
      </c>
      <c r="D41" s="73">
        <v>84527.8</v>
      </c>
      <c r="E41" s="42">
        <f t="shared" si="12"/>
        <v>1271286.3000000003</v>
      </c>
      <c r="F41" s="60">
        <v>26</v>
      </c>
      <c r="G41" s="61">
        <v>21</v>
      </c>
      <c r="H41" s="26">
        <f t="shared" si="13"/>
        <v>46049</v>
      </c>
      <c r="I41" s="58">
        <f t="shared" si="2"/>
        <v>27</v>
      </c>
      <c r="J41" s="40">
        <f t="shared" si="3"/>
        <v>3</v>
      </c>
      <c r="K41" s="59">
        <v>26613.45</v>
      </c>
      <c r="L41" s="42">
        <f t="shared" si="14"/>
        <v>1109855.2600000002</v>
      </c>
      <c r="M41" s="60">
        <v>11</v>
      </c>
      <c r="N41" s="61">
        <v>15</v>
      </c>
      <c r="O41" s="5"/>
      <c r="P41" s="62">
        <f t="shared" si="4"/>
        <v>-57914.350000000006</v>
      </c>
      <c r="Q41" s="63">
        <f t="shared" si="5"/>
        <v>-0.68515151228353277</v>
      </c>
      <c r="R41" s="64">
        <f t="shared" si="6"/>
        <v>-161431.04000000004</v>
      </c>
      <c r="S41" s="65">
        <f t="shared" si="7"/>
        <v>-0.12698244290054883</v>
      </c>
      <c r="T41" s="2"/>
      <c r="U41" s="2"/>
      <c r="V41" s="2"/>
      <c r="W41" s="5"/>
      <c r="X41" s="6"/>
      <c r="Y41" s="66">
        <v>27</v>
      </c>
      <c r="Z41" s="50">
        <f t="shared" si="8"/>
        <v>100895.93272727275</v>
      </c>
      <c r="AA41" s="51">
        <f t="shared" si="9"/>
        <v>73990.35066666668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45685</v>
      </c>
      <c r="B42" s="58">
        <f t="shared" si="0"/>
        <v>28</v>
      </c>
      <c r="C42" s="40">
        <f t="shared" si="1"/>
        <v>3</v>
      </c>
      <c r="D42" s="73">
        <v>78190.8</v>
      </c>
      <c r="E42" s="42">
        <f t="shared" si="12"/>
        <v>1349477.1000000003</v>
      </c>
      <c r="F42" s="60">
        <v>28</v>
      </c>
      <c r="G42" s="61">
        <v>17</v>
      </c>
      <c r="H42" s="26">
        <f t="shared" si="13"/>
        <v>46050</v>
      </c>
      <c r="I42" s="58">
        <f t="shared" si="2"/>
        <v>28</v>
      </c>
      <c r="J42" s="40">
        <f t="shared" si="3"/>
        <v>4</v>
      </c>
      <c r="K42" s="59">
        <v>39452.080000000002</v>
      </c>
      <c r="L42" s="42">
        <f t="shared" si="14"/>
        <v>1149307.3400000003</v>
      </c>
      <c r="M42" s="60">
        <v>31</v>
      </c>
      <c r="N42" s="61">
        <v>17</v>
      </c>
      <c r="O42" s="5"/>
      <c r="P42" s="62">
        <f t="shared" si="4"/>
        <v>-38738.720000000001</v>
      </c>
      <c r="Q42" s="63">
        <f t="shared" si="5"/>
        <v>-0.4954383380141909</v>
      </c>
      <c r="R42" s="64">
        <f t="shared" si="6"/>
        <v>-200169.76</v>
      </c>
      <c r="S42" s="65">
        <f t="shared" si="7"/>
        <v>-0.14833134997251896</v>
      </c>
      <c r="T42" s="2"/>
      <c r="U42" s="2"/>
      <c r="V42" s="2"/>
      <c r="W42" s="5"/>
      <c r="X42" s="6"/>
      <c r="Y42" s="66">
        <v>28</v>
      </c>
      <c r="Z42" s="50">
        <f t="shared" si="8"/>
        <v>37074.430322580658</v>
      </c>
      <c r="AA42" s="51">
        <f t="shared" si="9"/>
        <v>67606.314117647082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45686</v>
      </c>
      <c r="B43" s="58">
        <f t="shared" si="0"/>
        <v>29</v>
      </c>
      <c r="C43" s="40">
        <f t="shared" si="1"/>
        <v>4</v>
      </c>
      <c r="D43" s="73">
        <v>64063.9</v>
      </c>
      <c r="E43" s="42">
        <f t="shared" si="12"/>
        <v>1413541.0000000002</v>
      </c>
      <c r="F43" s="60">
        <v>6</v>
      </c>
      <c r="G43" s="61">
        <v>6</v>
      </c>
      <c r="H43" s="26">
        <f t="shared" si="13"/>
        <v>46051</v>
      </c>
      <c r="I43" s="58">
        <f t="shared" si="2"/>
        <v>29</v>
      </c>
      <c r="J43" s="40">
        <f t="shared" si="3"/>
        <v>5</v>
      </c>
      <c r="K43" s="59">
        <v>36616.22</v>
      </c>
      <c r="L43" s="42">
        <f t="shared" si="14"/>
        <v>1185923.5600000003</v>
      </c>
      <c r="M43" s="60">
        <v>31</v>
      </c>
      <c r="N43" s="61">
        <v>16</v>
      </c>
      <c r="O43" s="5"/>
      <c r="P43" s="62">
        <f t="shared" si="4"/>
        <v>-27447.68</v>
      </c>
      <c r="Q43" s="63">
        <f t="shared" si="5"/>
        <v>-0.42844222721376624</v>
      </c>
      <c r="R43" s="64">
        <f t="shared" si="6"/>
        <v>-227617.43999999994</v>
      </c>
      <c r="S43" s="65">
        <f t="shared" si="7"/>
        <v>-0.16102641522248018</v>
      </c>
      <c r="T43" s="2"/>
      <c r="U43" s="2"/>
      <c r="V43" s="2"/>
      <c r="W43" s="5"/>
      <c r="X43" s="6"/>
      <c r="Y43" s="66">
        <v>29</v>
      </c>
      <c r="Z43" s="50">
        <f t="shared" si="8"/>
        <v>38255.598709677426</v>
      </c>
      <c r="AA43" s="51">
        <f t="shared" si="9"/>
        <v>74120.222500000018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45687</v>
      </c>
      <c r="B44" s="58">
        <f t="shared" si="0"/>
        <v>30</v>
      </c>
      <c r="C44" s="40">
        <f t="shared" si="1"/>
        <v>5</v>
      </c>
      <c r="D44" s="73">
        <v>19826.849999999999</v>
      </c>
      <c r="E44" s="42">
        <f t="shared" si="12"/>
        <v>1433367.8500000003</v>
      </c>
      <c r="F44" s="60">
        <v>10</v>
      </c>
      <c r="G44" s="61">
        <v>6</v>
      </c>
      <c r="H44" s="26">
        <f t="shared" si="13"/>
        <v>46052</v>
      </c>
      <c r="I44" s="58">
        <f t="shared" si="2"/>
        <v>30</v>
      </c>
      <c r="J44" s="40">
        <f t="shared" si="3"/>
        <v>6</v>
      </c>
      <c r="K44" s="59">
        <v>53535.26</v>
      </c>
      <c r="L44" s="42">
        <f t="shared" si="14"/>
        <v>1239458.8200000003</v>
      </c>
      <c r="M44" s="60">
        <v>54</v>
      </c>
      <c r="N44" s="61">
        <v>31</v>
      </c>
      <c r="O44" s="5"/>
      <c r="P44" s="62">
        <f t="shared" si="4"/>
        <v>33708.410000000003</v>
      </c>
      <c r="Q44" s="63">
        <f t="shared" si="5"/>
        <v>1.7001394573520257</v>
      </c>
      <c r="R44" s="64">
        <f t="shared" si="6"/>
        <v>-193909.03000000003</v>
      </c>
      <c r="S44" s="65">
        <f t="shared" si="7"/>
        <v>-0.13528211198541951</v>
      </c>
      <c r="T44" s="2"/>
      <c r="U44" s="2"/>
      <c r="V44" s="2"/>
      <c r="W44" s="5"/>
      <c r="X44" s="6"/>
      <c r="Y44" s="66">
        <v>30</v>
      </c>
      <c r="Z44" s="50">
        <f t="shared" si="8"/>
        <v>22952.941111111115</v>
      </c>
      <c r="AA44" s="51">
        <f t="shared" si="9"/>
        <v>39982.542580645168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45688</v>
      </c>
      <c r="B45" s="74">
        <f t="shared" si="0"/>
        <v>31</v>
      </c>
      <c r="C45" s="75">
        <f t="shared" si="1"/>
        <v>6</v>
      </c>
      <c r="D45" s="73">
        <v>38918.050000000003</v>
      </c>
      <c r="E45" s="77">
        <f t="shared" si="12"/>
        <v>1472285.9000000004</v>
      </c>
      <c r="F45" s="78">
        <v>36</v>
      </c>
      <c r="G45" s="79">
        <v>23</v>
      </c>
      <c r="H45" s="26">
        <f t="shared" si="13"/>
        <v>46053</v>
      </c>
      <c r="I45" s="74">
        <f t="shared" si="2"/>
        <v>31</v>
      </c>
      <c r="J45" s="40">
        <f t="shared" si="3"/>
        <v>7</v>
      </c>
      <c r="K45" s="76">
        <v>41004.93</v>
      </c>
      <c r="L45" s="77">
        <f t="shared" si="14"/>
        <v>1280463.7500000002</v>
      </c>
      <c r="M45" s="78">
        <v>43</v>
      </c>
      <c r="N45" s="79">
        <v>31</v>
      </c>
      <c r="O45" s="5"/>
      <c r="P45" s="80">
        <f t="shared" si="4"/>
        <v>2086.8799999999974</v>
      </c>
      <c r="Q45" s="81">
        <f t="shared" si="5"/>
        <v>5.3622419417211242E-2</v>
      </c>
      <c r="R45" s="82">
        <f t="shared" si="6"/>
        <v>-191822.15000000014</v>
      </c>
      <c r="S45" s="83">
        <f t="shared" si="7"/>
        <v>-0.1302886552129584</v>
      </c>
      <c r="T45" s="2"/>
      <c r="U45" s="2"/>
      <c r="V45" s="2"/>
      <c r="W45" s="5"/>
      <c r="X45" s="6"/>
      <c r="Y45" s="84">
        <v>31</v>
      </c>
      <c r="Z45" s="50">
        <f t="shared" si="8"/>
        <v>29778.226744186053</v>
      </c>
      <c r="AA45" s="51">
        <f t="shared" si="9"/>
        <v>41305.282258064522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811</v>
      </c>
      <c r="G46" s="89">
        <f t="shared" si="45"/>
        <v>500</v>
      </c>
      <c r="H46" s="2"/>
      <c r="I46" s="2"/>
      <c r="J46" s="2"/>
      <c r="K46" s="2"/>
      <c r="L46" s="2"/>
      <c r="M46" s="89">
        <f t="shared" ref="M46:N46" si="46">SUM(M15:M45)</f>
        <v>1277</v>
      </c>
      <c r="N46" s="89">
        <f t="shared" si="46"/>
        <v>877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1460.0498859749148</v>
      </c>
      <c r="AA46" s="92">
        <f>IFERROR(M46/N46,0)</f>
        <v>1.4561003420752565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1472285.9000000004</v>
      </c>
      <c r="F47" s="97"/>
      <c r="G47" s="97"/>
      <c r="H47" s="98"/>
      <c r="I47" s="129" t="s">
        <v>40</v>
      </c>
      <c r="J47" s="130"/>
      <c r="K47" s="96">
        <f>SUM(K15:K45)</f>
        <v>1280463.7500000002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1707851.6440000003</v>
      </c>
      <c r="F48" s="97"/>
      <c r="G48" s="97"/>
      <c r="H48" s="104"/>
      <c r="I48" s="129" t="s">
        <v>43</v>
      </c>
      <c r="J48" s="130"/>
      <c r="K48" s="103">
        <f>K47*1.16</f>
        <v>1485337.9500000002</v>
      </c>
      <c r="L48" s="105" t="s">
        <v>44</v>
      </c>
      <c r="M48" s="106"/>
      <c r="N48" s="106"/>
      <c r="O48" s="106"/>
      <c r="P48" s="106"/>
      <c r="Q48" s="106"/>
      <c r="R48" s="107">
        <f>K47-E47</f>
        <v>-191822.15000000014</v>
      </c>
      <c r="S48" s="108">
        <f>IFERROR(+K47/E47-1,0)</f>
        <v>-0.1302886552129584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47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-1280463.7500000002</v>
      </c>
      <c r="BN49" s="113">
        <f t="shared" ref="BN49:BO49" si="48">+BN46-M46</f>
        <v>-1277</v>
      </c>
      <c r="BO49" s="114">
        <f t="shared" si="48"/>
        <v>-877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71" priority="1" operator="lessThan">
      <formula>0</formula>
    </cfRule>
  </conditionalFormatting>
  <conditionalFormatting sqref="E47:G48 K47:K48">
    <cfRule type="cellIs" dxfId="70" priority="2" operator="lessThan">
      <formula>0</formula>
    </cfRule>
  </conditionalFormatting>
  <conditionalFormatting sqref="K15:L45">
    <cfRule type="cellIs" dxfId="69" priority="3" operator="lessThan">
      <formula>0</formula>
    </cfRule>
  </conditionalFormatting>
  <conditionalFormatting sqref="P15:S45">
    <cfRule type="cellIs" dxfId="68" priority="4" operator="lessThan">
      <formula>0</formula>
    </cfRule>
  </conditionalFormatting>
  <conditionalFormatting sqref="R48:S48">
    <cfRule type="cellIs" dxfId="67" priority="5" operator="lessThan">
      <formula>0</formula>
    </cfRule>
  </conditionalFormatting>
  <conditionalFormatting sqref="V8">
    <cfRule type="expression" dxfId="66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0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0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0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000-000003000000}">
          <x14:formula1>
            <xm:f>DTA!$I$4:$I$18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2026</v>
      </c>
      <c r="D1" s="3">
        <f>VLOOKUP(D3,DTA!$B$3:$C$15,2,FALSE)</f>
        <v>2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2026</v>
      </c>
      <c r="D3" s="11" t="s">
        <v>5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5</v>
      </c>
      <c r="S8" s="11">
        <v>1</v>
      </c>
      <c r="T8" s="2"/>
      <c r="U8" s="138"/>
      <c r="V8" s="16">
        <v>1531396.9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2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10</v>
      </c>
      <c r="C13" s="147"/>
      <c r="D13" s="147"/>
      <c r="E13" s="147"/>
      <c r="F13" s="147"/>
      <c r="G13" s="148"/>
      <c r="H13" s="5"/>
      <c r="I13" s="149" t="s">
        <v>11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0.65737946837949068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46054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46054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46054</v>
      </c>
      <c r="B15" s="39">
        <f t="shared" ref="B15:B45" si="0">+DAY(A15)</f>
        <v>1</v>
      </c>
      <c r="C15" s="40">
        <f t="shared" ref="C15:C45" si="1">+WEEKDAY(A15)</f>
        <v>1</v>
      </c>
      <c r="D15" s="41">
        <v>34755.599999999999</v>
      </c>
      <c r="E15" s="42">
        <f>D15</f>
        <v>34755.599999999999</v>
      </c>
      <c r="F15" s="43">
        <v>30</v>
      </c>
      <c r="G15" s="44">
        <v>18</v>
      </c>
      <c r="H15" s="26">
        <f>H14</f>
        <v>46054</v>
      </c>
      <c r="I15" s="39">
        <f t="shared" ref="I15:I45" si="2">+DAY(H15)</f>
        <v>1</v>
      </c>
      <c r="J15" s="40">
        <f t="shared" ref="J15:J45" si="3">+WEEKDAY(H15)</f>
        <v>1</v>
      </c>
      <c r="K15" s="41">
        <v>64637.16</v>
      </c>
      <c r="L15" s="42">
        <f>K15</f>
        <v>64637.16</v>
      </c>
      <c r="M15" s="43">
        <v>63</v>
      </c>
      <c r="N15" s="44">
        <v>34</v>
      </c>
      <c r="O15" s="5"/>
      <c r="P15" s="45">
        <f t="shared" ref="P15:P45" si="4">IF(NOT(ISBLANK(K15)),SUM(K15-D15),"")</f>
        <v>29881.560000000005</v>
      </c>
      <c r="Q15" s="46">
        <f t="shared" ref="Q15:Q45" si="5">IF(NOT(ISBLANK(K15)),IFERROR(((K15/D15)-1)," ")," ")</f>
        <v>0.85976245554673225</v>
      </c>
      <c r="R15" s="47">
        <f t="shared" ref="R15:R45" si="6">IF(NOT(ISBLANK(K15)),SUM(L15-E15),"")</f>
        <v>29881.560000000005</v>
      </c>
      <c r="S15" s="48">
        <f t="shared" ref="S15:S45" si="7">IFERROR(((L15/E15)-1),"")</f>
        <v>0.85976245554673225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1025.9866666666667</v>
      </c>
      <c r="AA15" s="51">
        <f t="shared" ref="AA15:AA45" si="9">IFERROR((L15/N15)," ")</f>
        <v>1901.0929411764707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46055</v>
      </c>
      <c r="B16" s="58">
        <f t="shared" si="0"/>
        <v>2</v>
      </c>
      <c r="C16" s="40">
        <f t="shared" si="1"/>
        <v>2</v>
      </c>
      <c r="D16" s="59">
        <v>39118.36</v>
      </c>
      <c r="E16" s="42">
        <f t="shared" ref="E16:E45" si="12">IF(NOT(ISBLANK(D16)),SUM(E15+D16),"")</f>
        <v>73873.959999999992</v>
      </c>
      <c r="F16" s="60">
        <v>40</v>
      </c>
      <c r="G16" s="61">
        <v>20</v>
      </c>
      <c r="H16" s="26">
        <f t="shared" ref="H16:H45" si="13">H15+1</f>
        <v>46055</v>
      </c>
      <c r="I16" s="58">
        <f t="shared" si="2"/>
        <v>2</v>
      </c>
      <c r="J16" s="40">
        <f t="shared" si="3"/>
        <v>2</v>
      </c>
      <c r="K16" s="59">
        <v>37221.800000000003</v>
      </c>
      <c r="L16" s="42">
        <f t="shared" ref="L16:L45" si="14">IF(NOT(ISBLANK(K16)),SUM(L15+K16),"")</f>
        <v>101858.96</v>
      </c>
      <c r="M16" s="60">
        <v>32</v>
      </c>
      <c r="N16" s="61">
        <v>24</v>
      </c>
      <c r="O16" s="5"/>
      <c r="P16" s="62">
        <f t="shared" si="4"/>
        <v>-1896.5599999999977</v>
      </c>
      <c r="Q16" s="63">
        <f t="shared" si="5"/>
        <v>-4.848260509898672E-2</v>
      </c>
      <c r="R16" s="64">
        <f t="shared" si="6"/>
        <v>27985.000000000015</v>
      </c>
      <c r="S16" s="65">
        <f t="shared" si="7"/>
        <v>0.37882089981368283</v>
      </c>
      <c r="T16" s="2"/>
      <c r="U16" s="2"/>
      <c r="V16" s="2"/>
      <c r="W16" s="5"/>
      <c r="X16" s="6"/>
      <c r="Y16" s="66">
        <v>2</v>
      </c>
      <c r="Z16" s="50">
        <f t="shared" si="8"/>
        <v>3183.0925000000002</v>
      </c>
      <c r="AA16" s="51">
        <f t="shared" si="9"/>
        <v>4244.1233333333339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46056</v>
      </c>
      <c r="B17" s="58">
        <f t="shared" si="0"/>
        <v>3</v>
      </c>
      <c r="C17" s="40">
        <f t="shared" si="1"/>
        <v>3</v>
      </c>
      <c r="D17" s="59">
        <v>49786.81</v>
      </c>
      <c r="E17" s="42">
        <f t="shared" si="12"/>
        <v>123660.76999999999</v>
      </c>
      <c r="F17" s="60">
        <v>52</v>
      </c>
      <c r="G17" s="61">
        <v>36</v>
      </c>
      <c r="H17" s="26">
        <f t="shared" si="13"/>
        <v>46056</v>
      </c>
      <c r="I17" s="58">
        <f t="shared" si="2"/>
        <v>3</v>
      </c>
      <c r="J17" s="40">
        <f t="shared" si="3"/>
        <v>3</v>
      </c>
      <c r="K17" s="59">
        <v>17856.25</v>
      </c>
      <c r="L17" s="42">
        <f t="shared" si="14"/>
        <v>119715.21</v>
      </c>
      <c r="M17" s="60">
        <v>18</v>
      </c>
      <c r="N17" s="61">
        <v>12</v>
      </c>
      <c r="O17" s="5"/>
      <c r="P17" s="62">
        <f t="shared" si="4"/>
        <v>-31930.559999999998</v>
      </c>
      <c r="Q17" s="63">
        <f t="shared" si="5"/>
        <v>-0.64134577009452909</v>
      </c>
      <c r="R17" s="64">
        <f t="shared" si="6"/>
        <v>-3945.5599999999831</v>
      </c>
      <c r="S17" s="65">
        <f t="shared" si="7"/>
        <v>-3.1906319198885646E-2</v>
      </c>
      <c r="T17" s="2"/>
      <c r="U17" s="2"/>
      <c r="V17" s="2"/>
      <c r="W17" s="5"/>
      <c r="X17" s="6"/>
      <c r="Y17" s="66">
        <v>3</v>
      </c>
      <c r="Z17" s="50">
        <f t="shared" si="8"/>
        <v>6650.8450000000003</v>
      </c>
      <c r="AA17" s="51">
        <f t="shared" si="9"/>
        <v>9976.2674999999999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46057</v>
      </c>
      <c r="B18" s="58">
        <f t="shared" si="0"/>
        <v>4</v>
      </c>
      <c r="C18" s="40">
        <f t="shared" si="1"/>
        <v>4</v>
      </c>
      <c r="D18" s="59">
        <v>80413.45</v>
      </c>
      <c r="E18" s="42">
        <f t="shared" si="12"/>
        <v>204074.21999999997</v>
      </c>
      <c r="F18" s="60">
        <v>79</v>
      </c>
      <c r="G18" s="61">
        <v>41</v>
      </c>
      <c r="H18" s="26">
        <f t="shared" si="13"/>
        <v>46057</v>
      </c>
      <c r="I18" s="58">
        <f t="shared" si="2"/>
        <v>4</v>
      </c>
      <c r="J18" s="40">
        <f t="shared" si="3"/>
        <v>4</v>
      </c>
      <c r="K18" s="59">
        <v>20221.28</v>
      </c>
      <c r="L18" s="42">
        <f t="shared" si="14"/>
        <v>139936.49</v>
      </c>
      <c r="M18" s="60">
        <v>15</v>
      </c>
      <c r="N18" s="61">
        <v>11</v>
      </c>
      <c r="O18" s="5"/>
      <c r="P18" s="62">
        <f t="shared" si="4"/>
        <v>-60192.17</v>
      </c>
      <c r="Q18" s="63">
        <f t="shared" si="5"/>
        <v>-0.74853360973817185</v>
      </c>
      <c r="R18" s="64">
        <f t="shared" si="6"/>
        <v>-64137.729999999981</v>
      </c>
      <c r="S18" s="65">
        <f t="shared" si="7"/>
        <v>-0.31428629250671636</v>
      </c>
      <c r="T18" s="2"/>
      <c r="U18" s="2"/>
      <c r="V18" s="2"/>
      <c r="W18" s="5"/>
      <c r="X18" s="6"/>
      <c r="Y18" s="66">
        <v>4</v>
      </c>
      <c r="Z18" s="50">
        <f t="shared" si="8"/>
        <v>9329.0993333333336</v>
      </c>
      <c r="AA18" s="51">
        <f t="shared" si="9"/>
        <v>12721.49909090909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46058</v>
      </c>
      <c r="B19" s="58">
        <f t="shared" si="0"/>
        <v>5</v>
      </c>
      <c r="C19" s="40">
        <f t="shared" si="1"/>
        <v>5</v>
      </c>
      <c r="D19" s="59">
        <v>50280.17</v>
      </c>
      <c r="E19" s="42">
        <f t="shared" si="12"/>
        <v>254354.38999999996</v>
      </c>
      <c r="F19" s="60">
        <v>62</v>
      </c>
      <c r="G19" s="61">
        <v>32</v>
      </c>
      <c r="H19" s="26">
        <f t="shared" si="13"/>
        <v>46058</v>
      </c>
      <c r="I19" s="58">
        <f t="shared" si="2"/>
        <v>5</v>
      </c>
      <c r="J19" s="40">
        <f t="shared" si="3"/>
        <v>5</v>
      </c>
      <c r="K19" s="59">
        <v>23706.65</v>
      </c>
      <c r="L19" s="42">
        <f t="shared" si="14"/>
        <v>163643.13999999998</v>
      </c>
      <c r="M19" s="60">
        <v>23</v>
      </c>
      <c r="N19" s="61">
        <v>18</v>
      </c>
      <c r="O19" s="5"/>
      <c r="P19" s="62">
        <f t="shared" si="4"/>
        <v>-26573.519999999997</v>
      </c>
      <c r="Q19" s="63">
        <f t="shared" si="5"/>
        <v>-0.52850895293313438</v>
      </c>
      <c r="R19" s="64">
        <f t="shared" si="6"/>
        <v>-90711.249999999971</v>
      </c>
      <c r="S19" s="65">
        <f t="shared" si="7"/>
        <v>-0.35663331778940388</v>
      </c>
      <c r="T19" s="2"/>
      <c r="U19" s="2"/>
      <c r="V19" s="2"/>
      <c r="W19" s="5"/>
      <c r="X19" s="6"/>
      <c r="Y19" s="66">
        <v>5</v>
      </c>
      <c r="Z19" s="50">
        <f t="shared" si="8"/>
        <v>7114.9191304347823</v>
      </c>
      <c r="AA19" s="51">
        <f t="shared" si="9"/>
        <v>9091.2855555555543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46059</v>
      </c>
      <c r="B20" s="58">
        <f t="shared" si="0"/>
        <v>6</v>
      </c>
      <c r="C20" s="40">
        <f t="shared" si="1"/>
        <v>6</v>
      </c>
      <c r="D20" s="59">
        <v>28059.4</v>
      </c>
      <c r="E20" s="42">
        <f t="shared" si="12"/>
        <v>282413.78999999998</v>
      </c>
      <c r="F20" s="60">
        <v>22</v>
      </c>
      <c r="G20" s="61">
        <v>11</v>
      </c>
      <c r="H20" s="26">
        <f t="shared" si="13"/>
        <v>46059</v>
      </c>
      <c r="I20" s="58">
        <f t="shared" si="2"/>
        <v>6</v>
      </c>
      <c r="J20" s="40">
        <f t="shared" si="3"/>
        <v>6</v>
      </c>
      <c r="K20" s="59">
        <v>51966.22</v>
      </c>
      <c r="L20" s="42">
        <f t="shared" si="14"/>
        <v>215609.36</v>
      </c>
      <c r="M20" s="60">
        <v>42</v>
      </c>
      <c r="N20" s="61">
        <v>24</v>
      </c>
      <c r="O20" s="5"/>
      <c r="P20" s="62">
        <f t="shared" si="4"/>
        <v>23906.82</v>
      </c>
      <c r="Q20" s="63">
        <f t="shared" si="5"/>
        <v>0.85200752688938453</v>
      </c>
      <c r="R20" s="64">
        <f t="shared" si="6"/>
        <v>-66804.429999999993</v>
      </c>
      <c r="S20" s="65">
        <f t="shared" si="7"/>
        <v>-0.23654804533447182</v>
      </c>
      <c r="T20" s="2"/>
      <c r="U20" s="2"/>
      <c r="V20" s="2"/>
      <c r="W20" s="5"/>
      <c r="X20" s="6"/>
      <c r="Y20" s="66">
        <v>6</v>
      </c>
      <c r="Z20" s="50">
        <f t="shared" si="8"/>
        <v>5133.5561904761898</v>
      </c>
      <c r="AA20" s="51">
        <f t="shared" si="9"/>
        <v>8983.7233333333334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46060</v>
      </c>
      <c r="B21" s="58">
        <f t="shared" si="0"/>
        <v>7</v>
      </c>
      <c r="C21" s="40">
        <f t="shared" si="1"/>
        <v>7</v>
      </c>
      <c r="D21" s="59">
        <v>14167.24</v>
      </c>
      <c r="E21" s="42">
        <f t="shared" si="12"/>
        <v>296581.02999999997</v>
      </c>
      <c r="F21" s="60">
        <v>17</v>
      </c>
      <c r="G21" s="61">
        <v>11</v>
      </c>
      <c r="H21" s="26">
        <f t="shared" si="13"/>
        <v>46060</v>
      </c>
      <c r="I21" s="58">
        <f t="shared" si="2"/>
        <v>7</v>
      </c>
      <c r="J21" s="40">
        <f t="shared" si="3"/>
        <v>7</v>
      </c>
      <c r="K21" s="59">
        <v>42236.24</v>
      </c>
      <c r="L21" s="42">
        <f t="shared" si="14"/>
        <v>257845.59999999998</v>
      </c>
      <c r="M21" s="60">
        <v>38</v>
      </c>
      <c r="N21" s="61">
        <v>27</v>
      </c>
      <c r="O21" s="5"/>
      <c r="P21" s="62">
        <f t="shared" si="4"/>
        <v>28069</v>
      </c>
      <c r="Q21" s="63">
        <f t="shared" si="5"/>
        <v>1.9812609936727266</v>
      </c>
      <c r="R21" s="64">
        <f t="shared" si="6"/>
        <v>-38735.429999999993</v>
      </c>
      <c r="S21" s="65">
        <f t="shared" si="7"/>
        <v>-0.13060656644155566</v>
      </c>
      <c r="T21" s="2"/>
      <c r="U21" s="2"/>
      <c r="V21" s="2"/>
      <c r="W21" s="5"/>
      <c r="X21" s="6"/>
      <c r="Y21" s="66">
        <v>7</v>
      </c>
      <c r="Z21" s="50">
        <f t="shared" si="8"/>
        <v>6785.410526315789</v>
      </c>
      <c r="AA21" s="51">
        <f t="shared" si="9"/>
        <v>9549.8370370370358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46061</v>
      </c>
      <c r="B22" s="58">
        <f t="shared" si="0"/>
        <v>8</v>
      </c>
      <c r="C22" s="40">
        <f t="shared" si="1"/>
        <v>1</v>
      </c>
      <c r="D22" s="59">
        <v>20630.599999999999</v>
      </c>
      <c r="E22" s="42">
        <f t="shared" si="12"/>
        <v>317211.62999999995</v>
      </c>
      <c r="F22" s="60">
        <v>20</v>
      </c>
      <c r="G22" s="61">
        <v>15</v>
      </c>
      <c r="H22" s="26">
        <f t="shared" si="13"/>
        <v>46061</v>
      </c>
      <c r="I22" s="58">
        <f t="shared" si="2"/>
        <v>8</v>
      </c>
      <c r="J22" s="40">
        <f t="shared" si="3"/>
        <v>1</v>
      </c>
      <c r="K22" s="59">
        <v>39604.480000000003</v>
      </c>
      <c r="L22" s="42">
        <f t="shared" si="14"/>
        <v>297450.07999999996</v>
      </c>
      <c r="M22" s="60">
        <v>24</v>
      </c>
      <c r="N22" s="61">
        <v>21</v>
      </c>
      <c r="O22" s="5"/>
      <c r="P22" s="62">
        <f t="shared" si="4"/>
        <v>18973.880000000005</v>
      </c>
      <c r="Q22" s="63">
        <f t="shared" si="5"/>
        <v>0.91969598557482612</v>
      </c>
      <c r="R22" s="64">
        <f t="shared" si="6"/>
        <v>-19761.549999999988</v>
      </c>
      <c r="S22" s="65">
        <f t="shared" si="7"/>
        <v>-6.2297684356654837E-2</v>
      </c>
      <c r="T22" s="2"/>
      <c r="U22" s="2"/>
      <c r="V22" s="2"/>
      <c r="W22" s="5"/>
      <c r="X22" s="6"/>
      <c r="Y22" s="66">
        <v>8</v>
      </c>
      <c r="Z22" s="50">
        <f t="shared" si="8"/>
        <v>12393.753333333332</v>
      </c>
      <c r="AA22" s="51">
        <f t="shared" si="9"/>
        <v>14164.289523809523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46062</v>
      </c>
      <c r="B23" s="58">
        <f t="shared" si="0"/>
        <v>9</v>
      </c>
      <c r="C23" s="40">
        <f t="shared" si="1"/>
        <v>2</v>
      </c>
      <c r="D23" s="59">
        <v>23670.34</v>
      </c>
      <c r="E23" s="42">
        <f t="shared" si="12"/>
        <v>340881.97</v>
      </c>
      <c r="F23" s="60">
        <v>25</v>
      </c>
      <c r="G23" s="61">
        <v>16</v>
      </c>
      <c r="H23" s="26">
        <f t="shared" si="13"/>
        <v>46062</v>
      </c>
      <c r="I23" s="58">
        <f t="shared" si="2"/>
        <v>9</v>
      </c>
      <c r="J23" s="40">
        <f t="shared" si="3"/>
        <v>2</v>
      </c>
      <c r="K23" s="59">
        <v>18858.45</v>
      </c>
      <c r="L23" s="42">
        <f t="shared" si="14"/>
        <v>316308.52999999997</v>
      </c>
      <c r="M23" s="60">
        <v>19</v>
      </c>
      <c r="N23" s="61">
        <v>13</v>
      </c>
      <c r="O23" s="5"/>
      <c r="P23" s="62">
        <f t="shared" si="4"/>
        <v>-4811.8899999999994</v>
      </c>
      <c r="Q23" s="63">
        <f t="shared" si="5"/>
        <v>-0.20328774322633303</v>
      </c>
      <c r="R23" s="64">
        <f t="shared" si="6"/>
        <v>-24573.440000000002</v>
      </c>
      <c r="S23" s="65">
        <f t="shared" si="7"/>
        <v>-7.2087825589602139E-2</v>
      </c>
      <c r="T23" s="2"/>
      <c r="U23" s="2"/>
      <c r="V23" s="2"/>
      <c r="W23" s="5"/>
      <c r="X23" s="6"/>
      <c r="Y23" s="66">
        <v>9</v>
      </c>
      <c r="Z23" s="50">
        <f t="shared" si="8"/>
        <v>16647.817368421052</v>
      </c>
      <c r="AA23" s="51">
        <f t="shared" si="9"/>
        <v>24331.425384615381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46063</v>
      </c>
      <c r="B24" s="58">
        <f t="shared" si="0"/>
        <v>10</v>
      </c>
      <c r="C24" s="40">
        <f t="shared" si="1"/>
        <v>3</v>
      </c>
      <c r="D24" s="59">
        <v>51850.43</v>
      </c>
      <c r="E24" s="42">
        <f t="shared" si="12"/>
        <v>392732.39999999997</v>
      </c>
      <c r="F24" s="60">
        <v>44</v>
      </c>
      <c r="G24" s="61">
        <v>21</v>
      </c>
      <c r="H24" s="26">
        <f t="shared" si="13"/>
        <v>46063</v>
      </c>
      <c r="I24" s="58">
        <f t="shared" si="2"/>
        <v>10</v>
      </c>
      <c r="J24" s="40">
        <f t="shared" si="3"/>
        <v>3</v>
      </c>
      <c r="K24" s="59">
        <v>18508.349999999999</v>
      </c>
      <c r="L24" s="42">
        <f t="shared" si="14"/>
        <v>334816.87999999995</v>
      </c>
      <c r="M24" s="60">
        <v>11</v>
      </c>
      <c r="N24" s="61">
        <v>11</v>
      </c>
      <c r="O24" s="5"/>
      <c r="P24" s="62">
        <f t="shared" si="4"/>
        <v>-33342.080000000002</v>
      </c>
      <c r="Q24" s="63">
        <f t="shared" si="5"/>
        <v>-0.64304346174178306</v>
      </c>
      <c r="R24" s="64">
        <f t="shared" si="6"/>
        <v>-57915.520000000019</v>
      </c>
      <c r="S24" s="65">
        <f t="shared" si="7"/>
        <v>-0.14746814879546488</v>
      </c>
      <c r="T24" s="2"/>
      <c r="U24" s="2"/>
      <c r="V24" s="2"/>
      <c r="W24" s="5"/>
      <c r="X24" s="6"/>
      <c r="Y24" s="66">
        <v>10</v>
      </c>
      <c r="Z24" s="50">
        <f t="shared" si="8"/>
        <v>30437.898181818178</v>
      </c>
      <c r="AA24" s="51">
        <f t="shared" si="9"/>
        <v>30437.898181818178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46064</v>
      </c>
      <c r="B25" s="58">
        <f t="shared" si="0"/>
        <v>11</v>
      </c>
      <c r="C25" s="40">
        <f t="shared" si="1"/>
        <v>4</v>
      </c>
      <c r="D25" s="59">
        <v>49874.14</v>
      </c>
      <c r="E25" s="42">
        <f t="shared" si="12"/>
        <v>442606.54</v>
      </c>
      <c r="F25" s="60">
        <v>49</v>
      </c>
      <c r="G25" s="61">
        <v>29</v>
      </c>
      <c r="H25" s="26">
        <f t="shared" si="13"/>
        <v>46064</v>
      </c>
      <c r="I25" s="58">
        <f t="shared" si="2"/>
        <v>11</v>
      </c>
      <c r="J25" s="40">
        <f t="shared" si="3"/>
        <v>4</v>
      </c>
      <c r="K25" s="59">
        <v>16418.8</v>
      </c>
      <c r="L25" s="42">
        <f t="shared" si="14"/>
        <v>351235.67999999993</v>
      </c>
      <c r="M25" s="60">
        <v>17</v>
      </c>
      <c r="N25" s="61">
        <v>13</v>
      </c>
      <c r="O25" s="5"/>
      <c r="P25" s="62">
        <f t="shared" si="4"/>
        <v>-33455.339999999997</v>
      </c>
      <c r="Q25" s="63">
        <f t="shared" si="5"/>
        <v>-0.67079532599459357</v>
      </c>
      <c r="R25" s="64">
        <f t="shared" si="6"/>
        <v>-91370.860000000044</v>
      </c>
      <c r="S25" s="65">
        <f t="shared" si="7"/>
        <v>-0.20643811544221657</v>
      </c>
      <c r="T25" s="2"/>
      <c r="U25" s="2"/>
      <c r="V25" s="2"/>
      <c r="W25" s="5"/>
      <c r="X25" s="6"/>
      <c r="Y25" s="66">
        <v>11</v>
      </c>
      <c r="Z25" s="50">
        <f t="shared" si="8"/>
        <v>20660.922352941172</v>
      </c>
      <c r="AA25" s="51">
        <f t="shared" si="9"/>
        <v>27018.129230769227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46065</v>
      </c>
      <c r="B26" s="58">
        <f t="shared" si="0"/>
        <v>12</v>
      </c>
      <c r="C26" s="40">
        <f t="shared" si="1"/>
        <v>5</v>
      </c>
      <c r="D26" s="59">
        <v>31419.83</v>
      </c>
      <c r="E26" s="42">
        <f t="shared" si="12"/>
        <v>474026.37</v>
      </c>
      <c r="F26" s="60">
        <v>34</v>
      </c>
      <c r="G26" s="61">
        <v>22</v>
      </c>
      <c r="H26" s="26">
        <f t="shared" si="13"/>
        <v>46065</v>
      </c>
      <c r="I26" s="58">
        <f t="shared" si="2"/>
        <v>12</v>
      </c>
      <c r="J26" s="40">
        <f t="shared" si="3"/>
        <v>5</v>
      </c>
      <c r="K26" s="59">
        <v>50498.99</v>
      </c>
      <c r="L26" s="42">
        <f t="shared" si="14"/>
        <v>401734.66999999993</v>
      </c>
      <c r="M26" s="60">
        <v>34</v>
      </c>
      <c r="N26" s="61">
        <v>26</v>
      </c>
      <c r="O26" s="5"/>
      <c r="P26" s="62">
        <f t="shared" si="4"/>
        <v>19079.159999999996</v>
      </c>
      <c r="Q26" s="63">
        <f t="shared" si="5"/>
        <v>0.60723307541765803</v>
      </c>
      <c r="R26" s="64">
        <f t="shared" si="6"/>
        <v>-72291.70000000007</v>
      </c>
      <c r="S26" s="65">
        <f t="shared" si="7"/>
        <v>-0.15250565068774569</v>
      </c>
      <c r="T26" s="2"/>
      <c r="U26" s="2"/>
      <c r="V26" s="2"/>
      <c r="W26" s="5"/>
      <c r="X26" s="6"/>
      <c r="Y26" s="66">
        <v>12</v>
      </c>
      <c r="Z26" s="50">
        <f t="shared" si="8"/>
        <v>11815.725588235291</v>
      </c>
      <c r="AA26" s="51">
        <f t="shared" si="9"/>
        <v>15451.333461538459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46066</v>
      </c>
      <c r="B27" s="58">
        <f t="shared" si="0"/>
        <v>13</v>
      </c>
      <c r="C27" s="40">
        <f t="shared" si="1"/>
        <v>6</v>
      </c>
      <c r="D27" s="59">
        <v>53845.09</v>
      </c>
      <c r="E27" s="42">
        <f t="shared" si="12"/>
        <v>527871.46</v>
      </c>
      <c r="F27" s="60">
        <v>54</v>
      </c>
      <c r="G27" s="61">
        <v>32</v>
      </c>
      <c r="H27" s="26">
        <f t="shared" si="13"/>
        <v>46066</v>
      </c>
      <c r="I27" s="58">
        <f t="shared" si="2"/>
        <v>13</v>
      </c>
      <c r="J27" s="40">
        <f t="shared" si="3"/>
        <v>6</v>
      </c>
      <c r="K27" s="59">
        <v>49591.19</v>
      </c>
      <c r="L27" s="42">
        <f t="shared" si="14"/>
        <v>451325.85999999993</v>
      </c>
      <c r="M27" s="60">
        <v>48</v>
      </c>
      <c r="N27" s="61">
        <v>32</v>
      </c>
      <c r="O27" s="5"/>
      <c r="P27" s="62">
        <f t="shared" si="4"/>
        <v>-4253.8999999999942</v>
      </c>
      <c r="Q27" s="63">
        <f t="shared" si="5"/>
        <v>-7.9002560864881E-2</v>
      </c>
      <c r="R27" s="64">
        <f t="shared" si="6"/>
        <v>-76545.600000000035</v>
      </c>
      <c r="S27" s="65">
        <f t="shared" si="7"/>
        <v>-0.14500802903797838</v>
      </c>
      <c r="T27" s="2"/>
      <c r="U27" s="2"/>
      <c r="V27" s="2"/>
      <c r="W27" s="5"/>
      <c r="X27" s="6"/>
      <c r="Y27" s="66">
        <v>13</v>
      </c>
      <c r="Z27" s="50">
        <f t="shared" si="8"/>
        <v>9402.6220833333318</v>
      </c>
      <c r="AA27" s="51">
        <f t="shared" si="9"/>
        <v>14103.933124999998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46067</v>
      </c>
      <c r="B28" s="58">
        <f t="shared" si="0"/>
        <v>14</v>
      </c>
      <c r="C28" s="40">
        <f t="shared" si="1"/>
        <v>7</v>
      </c>
      <c r="D28" s="59">
        <v>49122</v>
      </c>
      <c r="E28" s="42">
        <f t="shared" si="12"/>
        <v>576993.46</v>
      </c>
      <c r="F28" s="60">
        <v>45</v>
      </c>
      <c r="G28" s="61">
        <v>23</v>
      </c>
      <c r="H28" s="26">
        <f t="shared" si="13"/>
        <v>46067</v>
      </c>
      <c r="I28" s="58">
        <f t="shared" si="2"/>
        <v>14</v>
      </c>
      <c r="J28" s="40">
        <f t="shared" si="3"/>
        <v>7</v>
      </c>
      <c r="K28" s="59">
        <v>69031.94</v>
      </c>
      <c r="L28" s="42">
        <f t="shared" si="14"/>
        <v>520357.79999999993</v>
      </c>
      <c r="M28" s="60">
        <v>56</v>
      </c>
      <c r="N28" s="61">
        <v>46</v>
      </c>
      <c r="O28" s="5"/>
      <c r="P28" s="62">
        <f t="shared" si="4"/>
        <v>19909.940000000002</v>
      </c>
      <c r="Q28" s="63">
        <f t="shared" si="5"/>
        <v>0.40531615162249102</v>
      </c>
      <c r="R28" s="64">
        <f t="shared" si="6"/>
        <v>-56635.660000000033</v>
      </c>
      <c r="S28" s="65">
        <f t="shared" si="7"/>
        <v>-9.8156502501778875E-2</v>
      </c>
      <c r="T28" s="2"/>
      <c r="U28" s="2"/>
      <c r="V28" s="2"/>
      <c r="W28" s="5"/>
      <c r="X28" s="6"/>
      <c r="Y28" s="66">
        <v>14</v>
      </c>
      <c r="Z28" s="50">
        <f t="shared" si="8"/>
        <v>9292.1035714285699</v>
      </c>
      <c r="AA28" s="51">
        <f t="shared" si="9"/>
        <v>11312.126086956519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46068</v>
      </c>
      <c r="B29" s="58">
        <f t="shared" si="0"/>
        <v>15</v>
      </c>
      <c r="C29" s="40">
        <f t="shared" si="1"/>
        <v>1</v>
      </c>
      <c r="D29" s="59">
        <v>15398.71</v>
      </c>
      <c r="E29" s="42">
        <f t="shared" si="12"/>
        <v>592392.16999999993</v>
      </c>
      <c r="F29" s="60">
        <v>14</v>
      </c>
      <c r="G29" s="61">
        <v>8</v>
      </c>
      <c r="H29" s="26">
        <f t="shared" si="13"/>
        <v>46068</v>
      </c>
      <c r="I29" s="58">
        <f t="shared" si="2"/>
        <v>15</v>
      </c>
      <c r="J29" s="40">
        <f t="shared" si="3"/>
        <v>1</v>
      </c>
      <c r="K29" s="59">
        <v>50029.36</v>
      </c>
      <c r="L29" s="42">
        <f t="shared" si="14"/>
        <v>570387.15999999992</v>
      </c>
      <c r="M29" s="60">
        <v>50</v>
      </c>
      <c r="N29" s="61">
        <v>35</v>
      </c>
      <c r="O29" s="5"/>
      <c r="P29" s="62">
        <f t="shared" si="4"/>
        <v>34630.65</v>
      </c>
      <c r="Q29" s="63">
        <f t="shared" si="5"/>
        <v>2.2489318910480165</v>
      </c>
      <c r="R29" s="64">
        <f t="shared" si="6"/>
        <v>-22005.010000000009</v>
      </c>
      <c r="S29" s="65">
        <f t="shared" si="7"/>
        <v>-3.7146017645709239E-2</v>
      </c>
      <c r="T29" s="2"/>
      <c r="U29" s="2"/>
      <c r="V29" s="2"/>
      <c r="W29" s="5"/>
      <c r="X29" s="6"/>
      <c r="Y29" s="66">
        <v>15</v>
      </c>
      <c r="Z29" s="50">
        <f t="shared" si="8"/>
        <v>11407.743199999999</v>
      </c>
      <c r="AA29" s="51">
        <f t="shared" si="9"/>
        <v>16296.775999999998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46069</v>
      </c>
      <c r="B30" s="58">
        <f t="shared" si="0"/>
        <v>16</v>
      </c>
      <c r="C30" s="40">
        <f t="shared" si="1"/>
        <v>2</v>
      </c>
      <c r="D30" s="59">
        <v>21937.16</v>
      </c>
      <c r="E30" s="42">
        <f t="shared" si="12"/>
        <v>614329.32999999996</v>
      </c>
      <c r="F30" s="60">
        <v>24</v>
      </c>
      <c r="G30" s="61">
        <v>19</v>
      </c>
      <c r="H30" s="26">
        <f t="shared" si="13"/>
        <v>46069</v>
      </c>
      <c r="I30" s="58">
        <f t="shared" si="2"/>
        <v>16</v>
      </c>
      <c r="J30" s="40">
        <f t="shared" si="3"/>
        <v>2</v>
      </c>
      <c r="K30" s="59">
        <v>34991.599999999999</v>
      </c>
      <c r="L30" s="42">
        <f t="shared" si="14"/>
        <v>605378.75999999989</v>
      </c>
      <c r="M30" s="60">
        <v>31</v>
      </c>
      <c r="N30" s="61">
        <v>20</v>
      </c>
      <c r="O30" s="5"/>
      <c r="P30" s="62">
        <f t="shared" si="4"/>
        <v>13054.439999999999</v>
      </c>
      <c r="Q30" s="63">
        <f t="shared" si="5"/>
        <v>0.59508341097936102</v>
      </c>
      <c r="R30" s="64">
        <f t="shared" si="6"/>
        <v>-8950.5700000000652</v>
      </c>
      <c r="S30" s="65">
        <f t="shared" si="7"/>
        <v>-1.4569660869032663E-2</v>
      </c>
      <c r="T30" s="2"/>
      <c r="U30" s="2"/>
      <c r="V30" s="2"/>
      <c r="W30" s="5"/>
      <c r="X30" s="6"/>
      <c r="Y30" s="66">
        <v>16</v>
      </c>
      <c r="Z30" s="50">
        <f t="shared" si="8"/>
        <v>19528.347096774189</v>
      </c>
      <c r="AA30" s="51">
        <f t="shared" si="9"/>
        <v>30268.937999999995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46070</v>
      </c>
      <c r="B31" s="58">
        <f t="shared" si="0"/>
        <v>17</v>
      </c>
      <c r="C31" s="40">
        <f t="shared" si="1"/>
        <v>3</v>
      </c>
      <c r="D31" s="59">
        <v>46667.42</v>
      </c>
      <c r="E31" s="42">
        <f t="shared" si="12"/>
        <v>660996.75</v>
      </c>
      <c r="F31" s="60">
        <v>47</v>
      </c>
      <c r="G31" s="61">
        <v>30</v>
      </c>
      <c r="H31" s="26">
        <f t="shared" si="13"/>
        <v>46070</v>
      </c>
      <c r="I31" s="58">
        <f t="shared" si="2"/>
        <v>17</v>
      </c>
      <c r="J31" s="40">
        <f t="shared" si="3"/>
        <v>3</v>
      </c>
      <c r="K31" s="59">
        <v>51805.599999999999</v>
      </c>
      <c r="L31" s="42">
        <f t="shared" si="14"/>
        <v>657184.35999999987</v>
      </c>
      <c r="M31" s="60">
        <v>37</v>
      </c>
      <c r="N31" s="61">
        <v>30</v>
      </c>
      <c r="O31" s="5"/>
      <c r="P31" s="62">
        <f t="shared" si="4"/>
        <v>5138.18</v>
      </c>
      <c r="Q31" s="63">
        <f t="shared" si="5"/>
        <v>0.11010207978071218</v>
      </c>
      <c r="R31" s="64">
        <f t="shared" si="6"/>
        <v>-3812.3900000001304</v>
      </c>
      <c r="S31" s="65">
        <f t="shared" si="7"/>
        <v>-5.7676380405805583E-3</v>
      </c>
      <c r="T31" s="2"/>
      <c r="U31" s="2"/>
      <c r="V31" s="2"/>
      <c r="W31" s="5"/>
      <c r="X31" s="6"/>
      <c r="Y31" s="66">
        <v>17</v>
      </c>
      <c r="Z31" s="50">
        <f t="shared" si="8"/>
        <v>17761.739459459455</v>
      </c>
      <c r="AA31" s="51">
        <f t="shared" si="9"/>
        <v>21906.14533333333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46071</v>
      </c>
      <c r="B32" s="58">
        <f t="shared" si="0"/>
        <v>18</v>
      </c>
      <c r="C32" s="40">
        <f t="shared" si="1"/>
        <v>4</v>
      </c>
      <c r="D32" s="59">
        <v>67319.649999999994</v>
      </c>
      <c r="E32" s="42">
        <f t="shared" si="12"/>
        <v>728316.4</v>
      </c>
      <c r="F32" s="60">
        <v>60</v>
      </c>
      <c r="G32" s="61">
        <v>36</v>
      </c>
      <c r="H32" s="26">
        <f t="shared" si="13"/>
        <v>46071</v>
      </c>
      <c r="I32" s="58">
        <f t="shared" si="2"/>
        <v>18</v>
      </c>
      <c r="J32" s="40">
        <f t="shared" si="3"/>
        <v>4</v>
      </c>
      <c r="K32" s="59">
        <v>29645.68</v>
      </c>
      <c r="L32" s="42">
        <f t="shared" si="14"/>
        <v>686830.03999999992</v>
      </c>
      <c r="M32" s="60">
        <v>21</v>
      </c>
      <c r="N32" s="61">
        <v>16</v>
      </c>
      <c r="O32" s="5"/>
      <c r="P32" s="62">
        <f t="shared" si="4"/>
        <v>-37673.969999999994</v>
      </c>
      <c r="Q32" s="63">
        <f t="shared" si="5"/>
        <v>-0.55962813235065834</v>
      </c>
      <c r="R32" s="64">
        <f t="shared" si="6"/>
        <v>-41486.360000000102</v>
      </c>
      <c r="S32" s="65">
        <f t="shared" si="7"/>
        <v>-5.6962001679489949E-2</v>
      </c>
      <c r="T32" s="2"/>
      <c r="U32" s="2"/>
      <c r="V32" s="2"/>
      <c r="W32" s="5"/>
      <c r="X32" s="6"/>
      <c r="Y32" s="66">
        <v>18</v>
      </c>
      <c r="Z32" s="50">
        <f t="shared" si="8"/>
        <v>32706.192380952376</v>
      </c>
      <c r="AA32" s="51">
        <f t="shared" si="9"/>
        <v>42926.877499999995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46072</v>
      </c>
      <c r="B33" s="58">
        <f t="shared" si="0"/>
        <v>19</v>
      </c>
      <c r="C33" s="40">
        <f t="shared" si="1"/>
        <v>5</v>
      </c>
      <c r="D33" s="59">
        <v>24506.720000000001</v>
      </c>
      <c r="E33" s="42">
        <f t="shared" si="12"/>
        <v>752823.12</v>
      </c>
      <c r="F33" s="60">
        <v>23</v>
      </c>
      <c r="G33" s="61">
        <v>15</v>
      </c>
      <c r="H33" s="26">
        <f t="shared" si="13"/>
        <v>46072</v>
      </c>
      <c r="I33" s="58">
        <f t="shared" si="2"/>
        <v>19</v>
      </c>
      <c r="J33" s="40">
        <f t="shared" si="3"/>
        <v>5</v>
      </c>
      <c r="K33" s="59">
        <v>23093.119999999999</v>
      </c>
      <c r="L33" s="42">
        <f t="shared" si="14"/>
        <v>709923.15999999992</v>
      </c>
      <c r="M33" s="60">
        <v>22</v>
      </c>
      <c r="N33" s="61">
        <v>13</v>
      </c>
      <c r="O33" s="5"/>
      <c r="P33" s="62">
        <f t="shared" si="4"/>
        <v>-1413.6000000000022</v>
      </c>
      <c r="Q33" s="63">
        <f t="shared" si="5"/>
        <v>-5.7682137797306243E-2</v>
      </c>
      <c r="R33" s="64">
        <f t="shared" si="6"/>
        <v>-42899.960000000079</v>
      </c>
      <c r="S33" s="65">
        <f t="shared" si="7"/>
        <v>-5.6985444336513091E-2</v>
      </c>
      <c r="T33" s="2"/>
      <c r="U33" s="2"/>
      <c r="V33" s="2"/>
      <c r="W33" s="5"/>
      <c r="X33" s="6"/>
      <c r="Y33" s="66">
        <v>19</v>
      </c>
      <c r="Z33" s="50">
        <f t="shared" si="8"/>
        <v>32269.234545454543</v>
      </c>
      <c r="AA33" s="51">
        <f t="shared" si="9"/>
        <v>54609.473846153836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46073</v>
      </c>
      <c r="B34" s="58">
        <f t="shared" si="0"/>
        <v>20</v>
      </c>
      <c r="C34" s="40">
        <f t="shared" si="1"/>
        <v>6</v>
      </c>
      <c r="D34" s="59">
        <v>25208.11</v>
      </c>
      <c r="E34" s="42">
        <f t="shared" si="12"/>
        <v>778031.23</v>
      </c>
      <c r="F34" s="60">
        <v>29</v>
      </c>
      <c r="G34" s="61">
        <v>16</v>
      </c>
      <c r="H34" s="26">
        <f t="shared" si="13"/>
        <v>46073</v>
      </c>
      <c r="I34" s="58">
        <f t="shared" si="2"/>
        <v>20</v>
      </c>
      <c r="J34" s="40">
        <f t="shared" si="3"/>
        <v>6</v>
      </c>
      <c r="K34" s="59">
        <v>43157.41</v>
      </c>
      <c r="L34" s="42">
        <f t="shared" si="14"/>
        <v>753080.57</v>
      </c>
      <c r="M34" s="60">
        <v>46</v>
      </c>
      <c r="N34" s="61">
        <v>22</v>
      </c>
      <c r="O34" s="5"/>
      <c r="P34" s="62">
        <f t="shared" si="4"/>
        <v>17949.300000000003</v>
      </c>
      <c r="Q34" s="63">
        <f t="shared" si="5"/>
        <v>0.71204465547000551</v>
      </c>
      <c r="R34" s="64">
        <f t="shared" si="6"/>
        <v>-24950.660000000033</v>
      </c>
      <c r="S34" s="65">
        <f t="shared" si="7"/>
        <v>-3.2068969776444578E-2</v>
      </c>
      <c r="T34" s="2"/>
      <c r="U34" s="2"/>
      <c r="V34" s="2"/>
      <c r="W34" s="5"/>
      <c r="X34" s="6"/>
      <c r="Y34" s="66">
        <v>20</v>
      </c>
      <c r="Z34" s="50">
        <f t="shared" si="8"/>
        <v>16371.316739130434</v>
      </c>
      <c r="AA34" s="51">
        <f t="shared" si="9"/>
        <v>34230.934999999998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46074</v>
      </c>
      <c r="B35" s="58">
        <f t="shared" si="0"/>
        <v>21</v>
      </c>
      <c r="C35" s="40">
        <f t="shared" si="1"/>
        <v>7</v>
      </c>
      <c r="D35" s="59">
        <v>14847.32</v>
      </c>
      <c r="E35" s="42">
        <f t="shared" si="12"/>
        <v>792878.54999999993</v>
      </c>
      <c r="F35" s="60">
        <v>21</v>
      </c>
      <c r="G35" s="61">
        <v>14</v>
      </c>
      <c r="H35" s="26">
        <f t="shared" si="13"/>
        <v>46074</v>
      </c>
      <c r="I35" s="58">
        <f t="shared" si="2"/>
        <v>21</v>
      </c>
      <c r="J35" s="40">
        <f t="shared" si="3"/>
        <v>7</v>
      </c>
      <c r="K35" s="59">
        <v>47723.87</v>
      </c>
      <c r="L35" s="42">
        <f t="shared" si="14"/>
        <v>800804.44</v>
      </c>
      <c r="M35" s="60">
        <v>41</v>
      </c>
      <c r="N35" s="61">
        <v>28</v>
      </c>
      <c r="O35" s="5"/>
      <c r="P35" s="62">
        <f t="shared" si="4"/>
        <v>32876.550000000003</v>
      </c>
      <c r="Q35" s="63">
        <f t="shared" si="5"/>
        <v>2.2143087102588215</v>
      </c>
      <c r="R35" s="64">
        <f t="shared" si="6"/>
        <v>7925.890000000014</v>
      </c>
      <c r="S35" s="65">
        <f t="shared" si="7"/>
        <v>9.9963481166189805E-3</v>
      </c>
      <c r="T35" s="2"/>
      <c r="U35" s="2"/>
      <c r="V35" s="2"/>
      <c r="W35" s="5"/>
      <c r="X35" s="6"/>
      <c r="Y35" s="66">
        <v>21</v>
      </c>
      <c r="Z35" s="50">
        <f t="shared" si="8"/>
        <v>19531.815609756097</v>
      </c>
      <c r="AA35" s="51">
        <f t="shared" si="9"/>
        <v>28600.158571428568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46075</v>
      </c>
      <c r="B36" s="58">
        <f t="shared" si="0"/>
        <v>22</v>
      </c>
      <c r="C36" s="40">
        <f t="shared" si="1"/>
        <v>1</v>
      </c>
      <c r="D36" s="59">
        <v>27592.59</v>
      </c>
      <c r="E36" s="42">
        <f t="shared" si="12"/>
        <v>820471.1399999999</v>
      </c>
      <c r="F36" s="60">
        <v>23</v>
      </c>
      <c r="G36" s="61">
        <v>14</v>
      </c>
      <c r="H36" s="26">
        <f t="shared" si="13"/>
        <v>46075</v>
      </c>
      <c r="I36" s="58">
        <f t="shared" si="2"/>
        <v>22</v>
      </c>
      <c r="J36" s="40">
        <f t="shared" si="3"/>
        <v>1</v>
      </c>
      <c r="K36" s="59">
        <v>51436.25</v>
      </c>
      <c r="L36" s="42">
        <f t="shared" si="14"/>
        <v>852240.69</v>
      </c>
      <c r="M36" s="60">
        <v>48</v>
      </c>
      <c r="N36" s="61">
        <v>30</v>
      </c>
      <c r="O36" s="5"/>
      <c r="P36" s="62">
        <f t="shared" si="4"/>
        <v>23843.66</v>
      </c>
      <c r="Q36" s="63">
        <f t="shared" si="5"/>
        <v>0.86413272548898101</v>
      </c>
      <c r="R36" s="64">
        <f t="shared" si="6"/>
        <v>31769.550000000047</v>
      </c>
      <c r="S36" s="65">
        <f t="shared" si="7"/>
        <v>3.8721106022084006E-2</v>
      </c>
      <c r="T36" s="2"/>
      <c r="U36" s="2"/>
      <c r="V36" s="2"/>
      <c r="W36" s="5"/>
      <c r="X36" s="6"/>
      <c r="Y36" s="66">
        <v>22</v>
      </c>
      <c r="Z36" s="50">
        <f t="shared" si="8"/>
        <v>17755.014374999999</v>
      </c>
      <c r="AA36" s="51">
        <f t="shared" si="9"/>
        <v>28408.022999999997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46076</v>
      </c>
      <c r="B37" s="58">
        <f t="shared" si="0"/>
        <v>23</v>
      </c>
      <c r="C37" s="40">
        <f t="shared" si="1"/>
        <v>2</v>
      </c>
      <c r="D37" s="59">
        <v>24892.5</v>
      </c>
      <c r="E37" s="42">
        <f t="shared" si="12"/>
        <v>845363.6399999999</v>
      </c>
      <c r="F37" s="60">
        <v>27</v>
      </c>
      <c r="G37" s="61">
        <v>18</v>
      </c>
      <c r="H37" s="26">
        <f t="shared" si="13"/>
        <v>46076</v>
      </c>
      <c r="I37" s="58">
        <f t="shared" si="2"/>
        <v>23</v>
      </c>
      <c r="J37" s="40">
        <f t="shared" si="3"/>
        <v>2</v>
      </c>
      <c r="K37" s="59">
        <v>26624.77</v>
      </c>
      <c r="L37" s="42">
        <f t="shared" si="14"/>
        <v>878865.46</v>
      </c>
      <c r="M37" s="60">
        <v>18</v>
      </c>
      <c r="N37" s="61">
        <v>15</v>
      </c>
      <c r="O37" s="5"/>
      <c r="P37" s="62">
        <f t="shared" si="4"/>
        <v>1732.2700000000004</v>
      </c>
      <c r="Q37" s="63">
        <f t="shared" si="5"/>
        <v>6.9590037159787066E-2</v>
      </c>
      <c r="R37" s="64">
        <f t="shared" si="6"/>
        <v>33501.820000000065</v>
      </c>
      <c r="S37" s="65">
        <f t="shared" si="7"/>
        <v>3.9630069729519102E-2</v>
      </c>
      <c r="T37" s="2"/>
      <c r="U37" s="2"/>
      <c r="V37" s="2"/>
      <c r="W37" s="5"/>
      <c r="X37" s="6"/>
      <c r="Y37" s="66">
        <v>23</v>
      </c>
      <c r="Z37" s="50">
        <f t="shared" si="8"/>
        <v>48825.858888888884</v>
      </c>
      <c r="AA37" s="51">
        <f t="shared" si="9"/>
        <v>58591.030666666666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46077</v>
      </c>
      <c r="B38" s="58">
        <f t="shared" si="0"/>
        <v>24</v>
      </c>
      <c r="C38" s="40">
        <f t="shared" si="1"/>
        <v>3</v>
      </c>
      <c r="D38" s="59">
        <v>61622.76</v>
      </c>
      <c r="E38" s="42">
        <f t="shared" si="12"/>
        <v>906986.39999999991</v>
      </c>
      <c r="F38" s="60">
        <v>62</v>
      </c>
      <c r="G38" s="61">
        <v>36</v>
      </c>
      <c r="H38" s="26">
        <f t="shared" si="13"/>
        <v>46077</v>
      </c>
      <c r="I38" s="58">
        <f t="shared" si="2"/>
        <v>24</v>
      </c>
      <c r="J38" s="40">
        <f t="shared" si="3"/>
        <v>3</v>
      </c>
      <c r="K38" s="59">
        <v>22058.87</v>
      </c>
      <c r="L38" s="42">
        <f t="shared" si="14"/>
        <v>900924.33</v>
      </c>
      <c r="M38" s="60">
        <v>15</v>
      </c>
      <c r="N38" s="61">
        <v>13</v>
      </c>
      <c r="O38" s="5"/>
      <c r="P38" s="62">
        <f t="shared" si="4"/>
        <v>-39563.89</v>
      </c>
      <c r="Q38" s="63">
        <f t="shared" si="5"/>
        <v>-0.6420337226050894</v>
      </c>
      <c r="R38" s="64">
        <f t="shared" si="6"/>
        <v>-6062.0699999999488</v>
      </c>
      <c r="S38" s="65">
        <f t="shared" si="7"/>
        <v>-6.6837496130041085E-3</v>
      </c>
      <c r="T38" s="2"/>
      <c r="U38" s="2"/>
      <c r="V38" s="2"/>
      <c r="W38" s="5"/>
      <c r="X38" s="6"/>
      <c r="Y38" s="66">
        <v>24</v>
      </c>
      <c r="Z38" s="50">
        <f t="shared" si="8"/>
        <v>60061.621999999996</v>
      </c>
      <c r="AA38" s="51">
        <f t="shared" si="9"/>
        <v>69301.871538461535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46078</v>
      </c>
      <c r="B39" s="58">
        <f t="shared" si="0"/>
        <v>25</v>
      </c>
      <c r="C39" s="40">
        <f t="shared" si="1"/>
        <v>4</v>
      </c>
      <c r="D39" s="59">
        <v>47195.6</v>
      </c>
      <c r="E39" s="42">
        <f t="shared" si="12"/>
        <v>954181.99999999988</v>
      </c>
      <c r="F39" s="60">
        <v>27</v>
      </c>
      <c r="G39" s="61">
        <v>45</v>
      </c>
      <c r="H39" s="26">
        <f t="shared" si="13"/>
        <v>46078</v>
      </c>
      <c r="I39" s="58">
        <f t="shared" si="2"/>
        <v>25</v>
      </c>
      <c r="J39" s="40">
        <f t="shared" si="3"/>
        <v>4</v>
      </c>
      <c r="K39" s="59">
        <v>13481.04</v>
      </c>
      <c r="L39" s="42">
        <f t="shared" si="14"/>
        <v>914405.37</v>
      </c>
      <c r="M39" s="60">
        <v>5</v>
      </c>
      <c r="N39" s="61">
        <v>5</v>
      </c>
      <c r="O39" s="5"/>
      <c r="P39" s="62">
        <f t="shared" si="4"/>
        <v>-33714.559999999998</v>
      </c>
      <c r="Q39" s="63">
        <f t="shared" si="5"/>
        <v>-0.71435811812965611</v>
      </c>
      <c r="R39" s="64">
        <f t="shared" si="6"/>
        <v>-39776.629999999888</v>
      </c>
      <c r="S39" s="65">
        <f t="shared" si="7"/>
        <v>-4.1686627917944308E-2</v>
      </c>
      <c r="T39" s="2"/>
      <c r="U39" s="2"/>
      <c r="V39" s="2"/>
      <c r="W39" s="5"/>
      <c r="X39" s="6"/>
      <c r="Y39" s="66">
        <v>25</v>
      </c>
      <c r="Z39" s="50">
        <f t="shared" si="8"/>
        <v>182881.07399999999</v>
      </c>
      <c r="AA39" s="51">
        <f t="shared" si="9"/>
        <v>182881.07399999999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46079</v>
      </c>
      <c r="B40" s="58">
        <f t="shared" si="0"/>
        <v>26</v>
      </c>
      <c r="C40" s="40">
        <f t="shared" si="1"/>
        <v>5</v>
      </c>
      <c r="D40" s="59">
        <v>16541.38</v>
      </c>
      <c r="E40" s="42">
        <f t="shared" si="12"/>
        <v>970723.37999999989</v>
      </c>
      <c r="F40" s="60">
        <v>12</v>
      </c>
      <c r="G40" s="61">
        <v>9</v>
      </c>
      <c r="H40" s="26">
        <f t="shared" si="13"/>
        <v>46079</v>
      </c>
      <c r="I40" s="58">
        <f t="shared" si="2"/>
        <v>26</v>
      </c>
      <c r="J40" s="40">
        <f t="shared" si="3"/>
        <v>5</v>
      </c>
      <c r="K40" s="59">
        <v>15274.3</v>
      </c>
      <c r="L40" s="42">
        <f t="shared" si="14"/>
        <v>929679.67</v>
      </c>
      <c r="M40" s="60">
        <v>13</v>
      </c>
      <c r="N40" s="61">
        <v>11</v>
      </c>
      <c r="O40" s="5"/>
      <c r="P40" s="62">
        <f t="shared" si="4"/>
        <v>-1267.0800000000017</v>
      </c>
      <c r="Q40" s="63">
        <f t="shared" si="5"/>
        <v>-7.6600622197180779E-2</v>
      </c>
      <c r="R40" s="64">
        <f t="shared" si="6"/>
        <v>-41043.709999999846</v>
      </c>
      <c r="S40" s="65">
        <f t="shared" si="7"/>
        <v>-4.2281571501862736E-2</v>
      </c>
      <c r="T40" s="2"/>
      <c r="U40" s="2"/>
      <c r="V40" s="2"/>
      <c r="W40" s="5"/>
      <c r="X40" s="6"/>
      <c r="Y40" s="66">
        <v>26</v>
      </c>
      <c r="Z40" s="50">
        <f t="shared" si="8"/>
        <v>71513.820769230777</v>
      </c>
      <c r="AA40" s="51">
        <f t="shared" si="9"/>
        <v>84516.333636363634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46080</v>
      </c>
      <c r="B41" s="58">
        <f t="shared" si="0"/>
        <v>27</v>
      </c>
      <c r="C41" s="40">
        <f t="shared" si="1"/>
        <v>6</v>
      </c>
      <c r="D41" s="59">
        <v>19354.650000000001</v>
      </c>
      <c r="E41" s="42">
        <f t="shared" si="12"/>
        <v>990078.02999999991</v>
      </c>
      <c r="F41" s="60">
        <v>19</v>
      </c>
      <c r="G41" s="61">
        <v>13</v>
      </c>
      <c r="H41" s="26">
        <f t="shared" si="13"/>
        <v>46080</v>
      </c>
      <c r="I41" s="58">
        <f t="shared" si="2"/>
        <v>27</v>
      </c>
      <c r="J41" s="40">
        <f t="shared" si="3"/>
        <v>6</v>
      </c>
      <c r="K41" s="59">
        <v>22279.21</v>
      </c>
      <c r="L41" s="42">
        <f t="shared" si="14"/>
        <v>951958.88</v>
      </c>
      <c r="M41" s="60">
        <v>18</v>
      </c>
      <c r="N41" s="61">
        <v>15</v>
      </c>
      <c r="O41" s="5"/>
      <c r="P41" s="62">
        <f t="shared" si="4"/>
        <v>2924.5599999999977</v>
      </c>
      <c r="Q41" s="63">
        <f t="shared" si="5"/>
        <v>0.15110373992813075</v>
      </c>
      <c r="R41" s="64">
        <f t="shared" si="6"/>
        <v>-38119.149999999907</v>
      </c>
      <c r="S41" s="65">
        <f t="shared" si="7"/>
        <v>-3.8501157327973323E-2</v>
      </c>
      <c r="T41" s="2"/>
      <c r="U41" s="2"/>
      <c r="V41" s="2"/>
      <c r="W41" s="5"/>
      <c r="X41" s="6"/>
      <c r="Y41" s="66">
        <v>27</v>
      </c>
      <c r="Z41" s="50">
        <f t="shared" si="8"/>
        <v>52886.604444444441</v>
      </c>
      <c r="AA41" s="51">
        <f t="shared" si="9"/>
        <v>63463.925333333333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46081</v>
      </c>
      <c r="B42" s="58">
        <f t="shared" si="0"/>
        <v>28</v>
      </c>
      <c r="C42" s="40">
        <f t="shared" si="1"/>
        <v>7</v>
      </c>
      <c r="D42" s="59">
        <v>24318.400000000001</v>
      </c>
      <c r="E42" s="42">
        <f t="shared" si="12"/>
        <v>1014396.4299999999</v>
      </c>
      <c r="F42" s="60">
        <v>30</v>
      </c>
      <c r="G42" s="61">
        <v>21</v>
      </c>
      <c r="H42" s="26">
        <f t="shared" si="13"/>
        <v>46081</v>
      </c>
      <c r="I42" s="58">
        <f t="shared" si="2"/>
        <v>28</v>
      </c>
      <c r="J42" s="40">
        <f t="shared" si="3"/>
        <v>7</v>
      </c>
      <c r="K42" s="59">
        <v>54750</v>
      </c>
      <c r="L42" s="42">
        <f t="shared" si="14"/>
        <v>1006708.88</v>
      </c>
      <c r="M42" s="60">
        <v>42</v>
      </c>
      <c r="N42" s="61">
        <v>25</v>
      </c>
      <c r="O42" s="5"/>
      <c r="P42" s="62">
        <f t="shared" si="4"/>
        <v>30431.599999999999</v>
      </c>
      <c r="Q42" s="63">
        <f t="shared" si="5"/>
        <v>1.2513816698467002</v>
      </c>
      <c r="R42" s="64">
        <f t="shared" si="6"/>
        <v>-7687.5499999999302</v>
      </c>
      <c r="S42" s="65">
        <f t="shared" si="7"/>
        <v>-7.5784474123198331E-3</v>
      </c>
      <c r="T42" s="2"/>
      <c r="U42" s="2"/>
      <c r="V42" s="2"/>
      <c r="W42" s="5"/>
      <c r="X42" s="6"/>
      <c r="Y42" s="66">
        <v>28</v>
      </c>
      <c r="Z42" s="50">
        <f t="shared" si="8"/>
        <v>23969.259047619049</v>
      </c>
      <c r="AA42" s="51">
        <f t="shared" si="9"/>
        <v>40268.355199999998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46082</v>
      </c>
      <c r="B43" s="58">
        <f t="shared" si="0"/>
        <v>1</v>
      </c>
      <c r="C43" s="40">
        <f t="shared" si="1"/>
        <v>1</v>
      </c>
      <c r="D43" s="59">
        <v>26474.83</v>
      </c>
      <c r="E43" s="42">
        <f t="shared" si="12"/>
        <v>1040871.2599999999</v>
      </c>
      <c r="F43" s="60">
        <v>20</v>
      </c>
      <c r="G43" s="61">
        <v>15</v>
      </c>
      <c r="H43" s="26">
        <f t="shared" si="13"/>
        <v>46082</v>
      </c>
      <c r="I43" s="58">
        <f t="shared" si="2"/>
        <v>1</v>
      </c>
      <c r="J43" s="40">
        <f t="shared" si="3"/>
        <v>1</v>
      </c>
      <c r="K43" s="59"/>
      <c r="L43" s="42" t="str">
        <f t="shared" si="14"/>
        <v/>
      </c>
      <c r="M43" s="60"/>
      <c r="N43" s="61"/>
      <c r="O43" s="5"/>
      <c r="P43" s="62" t="str">
        <f t="shared" si="4"/>
        <v/>
      </c>
      <c r="Q43" s="63" t="str">
        <f t="shared" si="5"/>
        <v xml:space="preserve"> </v>
      </c>
      <c r="R43" s="64" t="str">
        <f t="shared" si="6"/>
        <v/>
      </c>
      <c r="S43" s="65" t="str">
        <f t="shared" si="7"/>
        <v/>
      </c>
      <c r="T43" s="2"/>
      <c r="U43" s="2"/>
      <c r="V43" s="2"/>
      <c r="W43" s="5"/>
      <c r="X43" s="6"/>
      <c r="Y43" s="66">
        <v>29</v>
      </c>
      <c r="Z43" s="50" t="str">
        <f t="shared" si="8"/>
        <v xml:space="preserve"> </v>
      </c>
      <c r="AA43" s="51" t="str">
        <f t="shared" si="9"/>
        <v xml:space="preserve"> 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46083</v>
      </c>
      <c r="B44" s="58">
        <f t="shared" si="0"/>
        <v>2</v>
      </c>
      <c r="C44" s="40">
        <f t="shared" si="1"/>
        <v>2</v>
      </c>
      <c r="D44" s="59"/>
      <c r="E44" s="42" t="str">
        <f t="shared" si="12"/>
        <v/>
      </c>
      <c r="F44" s="60"/>
      <c r="G44" s="61"/>
      <c r="H44" s="26">
        <f t="shared" si="13"/>
        <v>46083</v>
      </c>
      <c r="I44" s="58">
        <f t="shared" si="2"/>
        <v>2</v>
      </c>
      <c r="J44" s="40">
        <f t="shared" si="3"/>
        <v>2</v>
      </c>
      <c r="K44" s="59"/>
      <c r="L44" s="42" t="str">
        <f t="shared" si="14"/>
        <v/>
      </c>
      <c r="M44" s="60"/>
      <c r="N44" s="61"/>
      <c r="O44" s="5"/>
      <c r="P44" s="62" t="str">
        <f t="shared" si="4"/>
        <v/>
      </c>
      <c r="Q44" s="63" t="str">
        <f t="shared" si="5"/>
        <v xml:space="preserve"> </v>
      </c>
      <c r="R44" s="64" t="str">
        <f t="shared" si="6"/>
        <v/>
      </c>
      <c r="S44" s="65" t="str">
        <f t="shared" si="7"/>
        <v/>
      </c>
      <c r="T44" s="2"/>
      <c r="U44" s="2"/>
      <c r="V44" s="2"/>
      <c r="W44" s="5"/>
      <c r="X44" s="6"/>
      <c r="Y44" s="66">
        <v>30</v>
      </c>
      <c r="Z44" s="50" t="str">
        <f t="shared" si="8"/>
        <v xml:space="preserve"> </v>
      </c>
      <c r="AA44" s="51" t="str">
        <f t="shared" si="9"/>
        <v xml:space="preserve"> 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46084</v>
      </c>
      <c r="B45" s="74">
        <f t="shared" si="0"/>
        <v>3</v>
      </c>
      <c r="C45" s="75">
        <f t="shared" si="1"/>
        <v>3</v>
      </c>
      <c r="D45" s="76"/>
      <c r="E45" s="77" t="str">
        <f t="shared" si="12"/>
        <v/>
      </c>
      <c r="F45" s="78"/>
      <c r="G45" s="79"/>
      <c r="H45" s="26">
        <f t="shared" si="13"/>
        <v>46084</v>
      </c>
      <c r="I45" s="74">
        <f t="shared" si="2"/>
        <v>3</v>
      </c>
      <c r="J45" s="40">
        <f t="shared" si="3"/>
        <v>3</v>
      </c>
      <c r="K45" s="76"/>
      <c r="L45" s="77" t="str">
        <f t="shared" si="14"/>
        <v/>
      </c>
      <c r="M45" s="78"/>
      <c r="N45" s="79"/>
      <c r="O45" s="5"/>
      <c r="P45" s="80" t="str">
        <f t="shared" si="4"/>
        <v/>
      </c>
      <c r="Q45" s="81" t="str">
        <f t="shared" si="5"/>
        <v xml:space="preserve"> </v>
      </c>
      <c r="R45" s="82" t="str">
        <f t="shared" si="6"/>
        <v/>
      </c>
      <c r="S45" s="83" t="str">
        <f t="shared" si="7"/>
        <v/>
      </c>
      <c r="T45" s="2"/>
      <c r="U45" s="2"/>
      <c r="V45" s="2"/>
      <c r="W45" s="5"/>
      <c r="X45" s="6"/>
      <c r="Y45" s="84">
        <v>31</v>
      </c>
      <c r="Z45" s="50" t="str">
        <f t="shared" si="8"/>
        <v xml:space="preserve"> </v>
      </c>
      <c r="AA45" s="51" t="str">
        <f t="shared" si="9"/>
        <v xml:space="preserve"> 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1011</v>
      </c>
      <c r="G46" s="89">
        <f t="shared" si="45"/>
        <v>636</v>
      </c>
      <c r="H46" s="2"/>
      <c r="I46" s="2"/>
      <c r="J46" s="2"/>
      <c r="K46" s="2"/>
      <c r="L46" s="2"/>
      <c r="M46" s="89">
        <f t="shared" ref="M46:N46" si="46">SUM(M15:M45)</f>
        <v>847</v>
      </c>
      <c r="N46" s="89">
        <f t="shared" si="46"/>
        <v>590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1706.2862372881357</v>
      </c>
      <c r="AA46" s="92">
        <f>IFERROR(M46/N46,0)</f>
        <v>1.435593220338983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1040871.2599999999</v>
      </c>
      <c r="F47" s="97"/>
      <c r="G47" s="97"/>
      <c r="H47" s="98"/>
      <c r="I47" s="129" t="s">
        <v>40</v>
      </c>
      <c r="J47" s="130"/>
      <c r="K47" s="96">
        <f>SUM(K15:K45)</f>
        <v>1006708.88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1207410.6615999998</v>
      </c>
      <c r="F48" s="97"/>
      <c r="G48" s="97"/>
      <c r="H48" s="104"/>
      <c r="I48" s="129" t="s">
        <v>43</v>
      </c>
      <c r="J48" s="130"/>
      <c r="K48" s="103">
        <f>K47*1.16</f>
        <v>1167782.3007999999</v>
      </c>
      <c r="L48" s="105" t="s">
        <v>44</v>
      </c>
      <c r="M48" s="106"/>
      <c r="N48" s="106"/>
      <c r="O48" s="106"/>
      <c r="P48" s="106"/>
      <c r="Q48" s="106"/>
      <c r="R48" s="107">
        <f>K47-E47</f>
        <v>-34162.379999999888</v>
      </c>
      <c r="S48" s="108">
        <f>IFERROR(+K47/E47-1,0)</f>
        <v>-3.2820946559711794E-2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45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-1006708.88</v>
      </c>
      <c r="BN49" s="113">
        <f t="shared" ref="BN49:BO49" si="48">+BN46-M46</f>
        <v>-847</v>
      </c>
      <c r="BO49" s="114">
        <f t="shared" si="48"/>
        <v>-590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65" priority="1" operator="lessThan">
      <formula>0</formula>
    </cfRule>
  </conditionalFormatting>
  <conditionalFormatting sqref="E47:G48 K47:K48">
    <cfRule type="cellIs" dxfId="64" priority="2" operator="lessThan">
      <formula>0</formula>
    </cfRule>
  </conditionalFormatting>
  <conditionalFormatting sqref="K15:L45">
    <cfRule type="cellIs" dxfId="63" priority="3" operator="lessThan">
      <formula>0</formula>
    </cfRule>
  </conditionalFormatting>
  <conditionalFormatting sqref="P15:S45">
    <cfRule type="cellIs" dxfId="62" priority="4" operator="lessThan">
      <formula>0</formula>
    </cfRule>
  </conditionalFormatting>
  <conditionalFormatting sqref="R48:S48">
    <cfRule type="cellIs" dxfId="61" priority="5" operator="lessThan">
      <formula>0</formula>
    </cfRule>
  </conditionalFormatting>
  <conditionalFormatting sqref="V8">
    <cfRule type="expression" dxfId="60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1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1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1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100-000003000000}">
          <x14:formula1>
            <xm:f>DTA!$I$4:$I$18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2026</v>
      </c>
      <c r="D1" s="3">
        <f>VLOOKUP(D3,DTA!$B$3:$C$15,2,FALSE)</f>
        <v>3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2026</v>
      </c>
      <c r="D3" s="11" t="s">
        <v>6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6</v>
      </c>
      <c r="S8" s="11">
        <v>1</v>
      </c>
      <c r="T8" s="2"/>
      <c r="U8" s="138"/>
      <c r="V8" s="16">
        <v>1590000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3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11</v>
      </c>
      <c r="C13" s="147"/>
      <c r="D13" s="147"/>
      <c r="E13" s="147"/>
      <c r="F13" s="147"/>
      <c r="G13" s="148"/>
      <c r="H13" s="5"/>
      <c r="I13" s="149" t="s">
        <v>11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0.68415840251572324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46082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46082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46082</v>
      </c>
      <c r="B15" s="39">
        <f t="shared" ref="B15:B45" si="0">+DAY(A15)</f>
        <v>1</v>
      </c>
      <c r="C15" s="40">
        <f t="shared" ref="C15:C45" si="1">+WEEKDAY(A15)</f>
        <v>1</v>
      </c>
      <c r="D15" s="41">
        <v>59639.05</v>
      </c>
      <c r="E15" s="42">
        <f>D15</f>
        <v>59639.05</v>
      </c>
      <c r="F15" s="43">
        <v>59</v>
      </c>
      <c r="G15" s="44">
        <v>42</v>
      </c>
      <c r="H15" s="26">
        <f>H14</f>
        <v>46082</v>
      </c>
      <c r="I15" s="39">
        <f t="shared" ref="I15:I45" si="2">+DAY(H15)</f>
        <v>1</v>
      </c>
      <c r="J15" s="40">
        <f t="shared" ref="J15:J45" si="3">+WEEKDAY(H15)</f>
        <v>1</v>
      </c>
      <c r="K15" s="41">
        <v>44842.080000000002</v>
      </c>
      <c r="L15" s="42">
        <f>K15</f>
        <v>44842.080000000002</v>
      </c>
      <c r="M15" s="43">
        <v>43</v>
      </c>
      <c r="N15" s="44">
        <v>24</v>
      </c>
      <c r="O15" s="5"/>
      <c r="P15" s="45">
        <f t="shared" ref="P15:P45" si="4">IF(NOT(ISBLANK(K15)),SUM(K15-D15),"")</f>
        <v>-14796.970000000001</v>
      </c>
      <c r="Q15" s="46">
        <f t="shared" ref="Q15:Q45" si="5">IF(NOT(ISBLANK(K15)),IFERROR(((K15/D15)-1)," ")," ")</f>
        <v>-0.2481087475404119</v>
      </c>
      <c r="R15" s="47">
        <f t="shared" ref="R15:R45" si="6">IF(NOT(ISBLANK(K15)),SUM(L15-E15),"")</f>
        <v>-14796.970000000001</v>
      </c>
      <c r="S15" s="48">
        <f t="shared" ref="S15:S45" si="7">IFERROR(((L15/E15)-1),"")</f>
        <v>-0.2481087475404119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1042.839069767442</v>
      </c>
      <c r="AA15" s="51">
        <f t="shared" ref="AA15:AA45" si="9">IFERROR((L15/N15)," ")</f>
        <v>1868.42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46083</v>
      </c>
      <c r="B16" s="58">
        <f t="shared" si="0"/>
        <v>2</v>
      </c>
      <c r="C16" s="40">
        <f t="shared" si="1"/>
        <v>2</v>
      </c>
      <c r="D16" s="59">
        <v>61407.23</v>
      </c>
      <c r="E16" s="42">
        <f t="shared" ref="E16:E45" si="12">IF(NOT(ISBLANK(D16)),SUM(E15+D16),"")</f>
        <v>121046.28</v>
      </c>
      <c r="F16" s="60">
        <v>58</v>
      </c>
      <c r="G16" s="61">
        <v>48</v>
      </c>
      <c r="H16" s="26">
        <f t="shared" ref="H16:H45" si="13">H15+1</f>
        <v>46083</v>
      </c>
      <c r="I16" s="58">
        <f t="shared" si="2"/>
        <v>2</v>
      </c>
      <c r="J16" s="40">
        <f t="shared" si="3"/>
        <v>2</v>
      </c>
      <c r="K16" s="59">
        <v>12866.13</v>
      </c>
      <c r="L16" s="42">
        <f t="shared" ref="L16:L45" si="14">IF(NOT(ISBLANK(K16)),SUM(L15+K16),"")</f>
        <v>57708.21</v>
      </c>
      <c r="M16" s="60">
        <v>12</v>
      </c>
      <c r="N16" s="61">
        <v>14</v>
      </c>
      <c r="O16" s="5"/>
      <c r="P16" s="62">
        <f t="shared" si="4"/>
        <v>-48541.100000000006</v>
      </c>
      <c r="Q16" s="63">
        <f t="shared" si="5"/>
        <v>-0.79047858045380004</v>
      </c>
      <c r="R16" s="64">
        <f t="shared" si="6"/>
        <v>-63338.07</v>
      </c>
      <c r="S16" s="65">
        <f t="shared" si="7"/>
        <v>-0.52325498974441842</v>
      </c>
      <c r="T16" s="2"/>
      <c r="U16" s="2"/>
      <c r="V16" s="2"/>
      <c r="W16" s="5"/>
      <c r="X16" s="6"/>
      <c r="Y16" s="66">
        <v>2</v>
      </c>
      <c r="Z16" s="50">
        <f t="shared" si="8"/>
        <v>4809.0174999999999</v>
      </c>
      <c r="AA16" s="51">
        <f t="shared" si="9"/>
        <v>4122.0150000000003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46084</v>
      </c>
      <c r="B17" s="58">
        <f t="shared" si="0"/>
        <v>3</v>
      </c>
      <c r="C17" s="40">
        <f t="shared" si="1"/>
        <v>3</v>
      </c>
      <c r="D17" s="59">
        <v>55010.85</v>
      </c>
      <c r="E17" s="42">
        <f t="shared" si="12"/>
        <v>176057.13</v>
      </c>
      <c r="F17" s="60">
        <v>58</v>
      </c>
      <c r="G17" s="61">
        <v>36</v>
      </c>
      <c r="H17" s="26">
        <f t="shared" si="13"/>
        <v>46084</v>
      </c>
      <c r="I17" s="58">
        <f t="shared" si="2"/>
        <v>3</v>
      </c>
      <c r="J17" s="40">
        <f t="shared" si="3"/>
        <v>3</v>
      </c>
      <c r="K17" s="59">
        <v>14446.91</v>
      </c>
      <c r="L17" s="42">
        <f t="shared" si="14"/>
        <v>72155.12</v>
      </c>
      <c r="M17" s="60">
        <v>13</v>
      </c>
      <c r="N17" s="61">
        <v>12</v>
      </c>
      <c r="O17" s="5"/>
      <c r="P17" s="62">
        <f t="shared" si="4"/>
        <v>-40563.94</v>
      </c>
      <c r="Q17" s="63">
        <f t="shared" si="5"/>
        <v>-0.73738071671315741</v>
      </c>
      <c r="R17" s="64">
        <f t="shared" si="6"/>
        <v>-103902.01000000001</v>
      </c>
      <c r="S17" s="65">
        <f t="shared" si="7"/>
        <v>-0.59016076202082823</v>
      </c>
      <c r="T17" s="2"/>
      <c r="U17" s="2"/>
      <c r="V17" s="2"/>
      <c r="W17" s="5"/>
      <c r="X17" s="6"/>
      <c r="Y17" s="66">
        <v>3</v>
      </c>
      <c r="Z17" s="50">
        <f t="shared" si="8"/>
        <v>5550.3938461538455</v>
      </c>
      <c r="AA17" s="51">
        <f t="shared" si="9"/>
        <v>6012.9266666666663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46085</v>
      </c>
      <c r="B18" s="58">
        <f t="shared" si="0"/>
        <v>4</v>
      </c>
      <c r="C18" s="40">
        <f t="shared" si="1"/>
        <v>4</v>
      </c>
      <c r="D18" s="59">
        <v>35098.29</v>
      </c>
      <c r="E18" s="42">
        <f t="shared" si="12"/>
        <v>211155.42</v>
      </c>
      <c r="F18" s="60">
        <v>36</v>
      </c>
      <c r="G18" s="61">
        <v>21</v>
      </c>
      <c r="H18" s="26">
        <f t="shared" si="13"/>
        <v>46085</v>
      </c>
      <c r="I18" s="58">
        <f t="shared" si="2"/>
        <v>4</v>
      </c>
      <c r="J18" s="40">
        <f t="shared" si="3"/>
        <v>4</v>
      </c>
      <c r="K18" s="59">
        <v>20281.89</v>
      </c>
      <c r="L18" s="42">
        <f t="shared" si="14"/>
        <v>92437.01</v>
      </c>
      <c r="M18" s="60">
        <v>13</v>
      </c>
      <c r="N18" s="61">
        <v>9</v>
      </c>
      <c r="O18" s="5"/>
      <c r="P18" s="62">
        <f t="shared" si="4"/>
        <v>-14816.400000000001</v>
      </c>
      <c r="Q18" s="63">
        <f t="shared" si="5"/>
        <v>-0.42214022392543915</v>
      </c>
      <c r="R18" s="64">
        <f t="shared" si="6"/>
        <v>-118718.41000000002</v>
      </c>
      <c r="S18" s="65">
        <f t="shared" si="7"/>
        <v>-0.56223235946299654</v>
      </c>
      <c r="T18" s="2"/>
      <c r="U18" s="2"/>
      <c r="V18" s="2"/>
      <c r="W18" s="5"/>
      <c r="X18" s="6"/>
      <c r="Y18" s="66">
        <v>4</v>
      </c>
      <c r="Z18" s="50">
        <f t="shared" si="8"/>
        <v>7110.53923076923</v>
      </c>
      <c r="AA18" s="51">
        <f t="shared" si="9"/>
        <v>10270.778888888888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46086</v>
      </c>
      <c r="B19" s="58">
        <f t="shared" si="0"/>
        <v>5</v>
      </c>
      <c r="C19" s="40">
        <f t="shared" si="1"/>
        <v>5</v>
      </c>
      <c r="D19" s="59">
        <v>27891.37</v>
      </c>
      <c r="E19" s="42">
        <f t="shared" si="12"/>
        <v>239046.79</v>
      </c>
      <c r="F19" s="60">
        <v>26</v>
      </c>
      <c r="G19" s="61">
        <v>17</v>
      </c>
      <c r="H19" s="26">
        <f t="shared" si="13"/>
        <v>46086</v>
      </c>
      <c r="I19" s="58">
        <f t="shared" si="2"/>
        <v>5</v>
      </c>
      <c r="J19" s="40">
        <f t="shared" si="3"/>
        <v>5</v>
      </c>
      <c r="K19" s="59">
        <v>17962.169999999998</v>
      </c>
      <c r="L19" s="42">
        <f t="shared" si="14"/>
        <v>110399.18</v>
      </c>
      <c r="M19" s="60">
        <v>15</v>
      </c>
      <c r="N19" s="61">
        <v>12</v>
      </c>
      <c r="O19" s="5"/>
      <c r="P19" s="62">
        <f t="shared" si="4"/>
        <v>-9929.2000000000007</v>
      </c>
      <c r="Q19" s="63">
        <f t="shared" si="5"/>
        <v>-0.3559954208057905</v>
      </c>
      <c r="R19" s="64">
        <f t="shared" si="6"/>
        <v>-128647.61000000002</v>
      </c>
      <c r="S19" s="65">
        <f t="shared" si="7"/>
        <v>-0.53816915926794084</v>
      </c>
      <c r="T19" s="2"/>
      <c r="U19" s="2"/>
      <c r="V19" s="2"/>
      <c r="W19" s="5"/>
      <c r="X19" s="6"/>
      <c r="Y19" s="66">
        <v>5</v>
      </c>
      <c r="Z19" s="50">
        <f t="shared" si="8"/>
        <v>7359.9453333333331</v>
      </c>
      <c r="AA19" s="51">
        <f t="shared" si="9"/>
        <v>9199.9316666666655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46087</v>
      </c>
      <c r="B20" s="58">
        <f t="shared" si="0"/>
        <v>6</v>
      </c>
      <c r="C20" s="40">
        <f t="shared" si="1"/>
        <v>6</v>
      </c>
      <c r="D20" s="59">
        <v>40560.620000000003</v>
      </c>
      <c r="E20" s="42">
        <f t="shared" si="12"/>
        <v>279607.41000000003</v>
      </c>
      <c r="F20" s="60">
        <v>40</v>
      </c>
      <c r="G20" s="61">
        <v>27</v>
      </c>
      <c r="H20" s="26">
        <f t="shared" si="13"/>
        <v>46087</v>
      </c>
      <c r="I20" s="58">
        <f t="shared" si="2"/>
        <v>6</v>
      </c>
      <c r="J20" s="40">
        <f t="shared" si="3"/>
        <v>6</v>
      </c>
      <c r="K20" s="59">
        <v>13849.28</v>
      </c>
      <c r="L20" s="42">
        <f t="shared" si="14"/>
        <v>124248.45999999999</v>
      </c>
      <c r="M20" s="60">
        <v>16</v>
      </c>
      <c r="N20" s="61">
        <v>12</v>
      </c>
      <c r="O20" s="5"/>
      <c r="P20" s="62">
        <f t="shared" si="4"/>
        <v>-26711.340000000004</v>
      </c>
      <c r="Q20" s="63">
        <f t="shared" si="5"/>
        <v>-0.65855354282059797</v>
      </c>
      <c r="R20" s="64">
        <f t="shared" si="6"/>
        <v>-155358.95000000004</v>
      </c>
      <c r="S20" s="65">
        <f t="shared" si="7"/>
        <v>-0.55563244908280507</v>
      </c>
      <c r="T20" s="2"/>
      <c r="U20" s="2"/>
      <c r="V20" s="2"/>
      <c r="W20" s="5"/>
      <c r="X20" s="6"/>
      <c r="Y20" s="66">
        <v>6</v>
      </c>
      <c r="Z20" s="50">
        <f t="shared" si="8"/>
        <v>7765.5287499999995</v>
      </c>
      <c r="AA20" s="51">
        <f t="shared" si="9"/>
        <v>10354.038333333332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46088</v>
      </c>
      <c r="B21" s="58">
        <f t="shared" si="0"/>
        <v>7</v>
      </c>
      <c r="C21" s="40">
        <f t="shared" si="1"/>
        <v>7</v>
      </c>
      <c r="D21" s="59">
        <v>24851.73</v>
      </c>
      <c r="E21" s="42">
        <f t="shared" si="12"/>
        <v>304459.14</v>
      </c>
      <c r="F21" s="60">
        <v>22</v>
      </c>
      <c r="G21" s="61">
        <v>14</v>
      </c>
      <c r="H21" s="26">
        <f t="shared" si="13"/>
        <v>46088</v>
      </c>
      <c r="I21" s="58">
        <f t="shared" si="2"/>
        <v>7</v>
      </c>
      <c r="J21" s="40">
        <f t="shared" si="3"/>
        <v>7</v>
      </c>
      <c r="K21" s="59">
        <v>43070.44</v>
      </c>
      <c r="L21" s="42">
        <f t="shared" si="14"/>
        <v>167318.9</v>
      </c>
      <c r="M21" s="60">
        <v>40</v>
      </c>
      <c r="N21" s="61">
        <v>31</v>
      </c>
      <c r="O21" s="5"/>
      <c r="P21" s="62">
        <f t="shared" si="4"/>
        <v>18218.710000000003</v>
      </c>
      <c r="Q21" s="63">
        <f t="shared" si="5"/>
        <v>0.73309624722303046</v>
      </c>
      <c r="R21" s="64">
        <f t="shared" si="6"/>
        <v>-137140.24000000002</v>
      </c>
      <c r="S21" s="65">
        <f t="shared" si="7"/>
        <v>-0.45043889961720318</v>
      </c>
      <c r="T21" s="2"/>
      <c r="U21" s="2"/>
      <c r="V21" s="2"/>
      <c r="W21" s="5"/>
      <c r="X21" s="6"/>
      <c r="Y21" s="66">
        <v>7</v>
      </c>
      <c r="Z21" s="50">
        <f t="shared" si="8"/>
        <v>4182.9724999999999</v>
      </c>
      <c r="AA21" s="51">
        <f t="shared" si="9"/>
        <v>5397.383870967742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46089</v>
      </c>
      <c r="B22" s="58">
        <f t="shared" si="0"/>
        <v>8</v>
      </c>
      <c r="C22" s="40">
        <f t="shared" si="1"/>
        <v>1</v>
      </c>
      <c r="D22" s="59">
        <v>61376.23</v>
      </c>
      <c r="E22" s="42">
        <f t="shared" si="12"/>
        <v>365835.37</v>
      </c>
      <c r="F22" s="60">
        <v>65</v>
      </c>
      <c r="G22" s="61">
        <v>43</v>
      </c>
      <c r="H22" s="26">
        <f t="shared" si="13"/>
        <v>46089</v>
      </c>
      <c r="I22" s="58">
        <f t="shared" si="2"/>
        <v>8</v>
      </c>
      <c r="J22" s="40">
        <f t="shared" si="3"/>
        <v>1</v>
      </c>
      <c r="K22" s="59">
        <v>36188.800000000003</v>
      </c>
      <c r="L22" s="42">
        <f t="shared" si="14"/>
        <v>203507.7</v>
      </c>
      <c r="M22" s="60">
        <v>31</v>
      </c>
      <c r="N22" s="61">
        <v>23</v>
      </c>
      <c r="O22" s="5"/>
      <c r="P22" s="62">
        <f t="shared" si="4"/>
        <v>-25187.43</v>
      </c>
      <c r="Q22" s="63">
        <f t="shared" si="5"/>
        <v>-0.41037760057924699</v>
      </c>
      <c r="R22" s="64">
        <f t="shared" si="6"/>
        <v>-162327.66999999998</v>
      </c>
      <c r="S22" s="65">
        <f t="shared" si="7"/>
        <v>-0.44371781219514117</v>
      </c>
      <c r="T22" s="2"/>
      <c r="U22" s="2"/>
      <c r="V22" s="2"/>
      <c r="W22" s="5"/>
      <c r="X22" s="6"/>
      <c r="Y22" s="66">
        <v>8</v>
      </c>
      <c r="Z22" s="50">
        <f t="shared" si="8"/>
        <v>6564.7645161290329</v>
      </c>
      <c r="AA22" s="51">
        <f t="shared" si="9"/>
        <v>8848.1608695652176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46090</v>
      </c>
      <c r="B23" s="58">
        <f t="shared" si="0"/>
        <v>9</v>
      </c>
      <c r="C23" s="40">
        <f t="shared" si="1"/>
        <v>2</v>
      </c>
      <c r="D23" s="59">
        <v>59954.47</v>
      </c>
      <c r="E23" s="42">
        <f t="shared" si="12"/>
        <v>425789.83999999997</v>
      </c>
      <c r="F23" s="60">
        <v>63</v>
      </c>
      <c r="G23" s="61">
        <v>43</v>
      </c>
      <c r="H23" s="26">
        <f t="shared" si="13"/>
        <v>46090</v>
      </c>
      <c r="I23" s="58">
        <f t="shared" si="2"/>
        <v>9</v>
      </c>
      <c r="J23" s="40">
        <f t="shared" si="3"/>
        <v>2</v>
      </c>
      <c r="K23" s="59">
        <v>32867.25</v>
      </c>
      <c r="L23" s="42">
        <f t="shared" si="14"/>
        <v>236374.95</v>
      </c>
      <c r="M23" s="60">
        <v>24</v>
      </c>
      <c r="N23" s="61">
        <v>12</v>
      </c>
      <c r="O23" s="5"/>
      <c r="P23" s="62">
        <f t="shared" si="4"/>
        <v>-27087.22</v>
      </c>
      <c r="Q23" s="63">
        <f t="shared" si="5"/>
        <v>-0.45179650491447931</v>
      </c>
      <c r="R23" s="64">
        <f t="shared" si="6"/>
        <v>-189414.88999999996</v>
      </c>
      <c r="S23" s="65">
        <f t="shared" si="7"/>
        <v>-0.44485535399341603</v>
      </c>
      <c r="T23" s="2"/>
      <c r="U23" s="2"/>
      <c r="V23" s="2"/>
      <c r="W23" s="5"/>
      <c r="X23" s="6"/>
      <c r="Y23" s="66">
        <v>9</v>
      </c>
      <c r="Z23" s="50">
        <f t="shared" si="8"/>
        <v>9848.9562500000011</v>
      </c>
      <c r="AA23" s="51">
        <f t="shared" si="9"/>
        <v>19697.912500000002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46091</v>
      </c>
      <c r="B24" s="58">
        <f t="shared" si="0"/>
        <v>10</v>
      </c>
      <c r="C24" s="40">
        <f t="shared" si="1"/>
        <v>3</v>
      </c>
      <c r="D24" s="59">
        <v>21334.58</v>
      </c>
      <c r="E24" s="42">
        <f t="shared" si="12"/>
        <v>447124.42</v>
      </c>
      <c r="F24" s="60">
        <v>22</v>
      </c>
      <c r="G24" s="61">
        <v>18</v>
      </c>
      <c r="H24" s="26">
        <f t="shared" si="13"/>
        <v>46091</v>
      </c>
      <c r="I24" s="58">
        <f t="shared" si="2"/>
        <v>10</v>
      </c>
      <c r="J24" s="40">
        <f t="shared" si="3"/>
        <v>3</v>
      </c>
      <c r="K24" s="59">
        <v>32282.76</v>
      </c>
      <c r="L24" s="42">
        <f t="shared" si="14"/>
        <v>268657.71000000002</v>
      </c>
      <c r="M24" s="60">
        <v>22</v>
      </c>
      <c r="N24" s="61">
        <v>12</v>
      </c>
      <c r="O24" s="5"/>
      <c r="P24" s="62">
        <f t="shared" si="4"/>
        <v>10948.179999999997</v>
      </c>
      <c r="Q24" s="63">
        <f t="shared" si="5"/>
        <v>0.51316594936483373</v>
      </c>
      <c r="R24" s="64">
        <f t="shared" si="6"/>
        <v>-178466.70999999996</v>
      </c>
      <c r="S24" s="65">
        <f t="shared" si="7"/>
        <v>-0.39914328544166733</v>
      </c>
      <c r="T24" s="2"/>
      <c r="U24" s="2"/>
      <c r="V24" s="2"/>
      <c r="W24" s="5"/>
      <c r="X24" s="6"/>
      <c r="Y24" s="66">
        <v>10</v>
      </c>
      <c r="Z24" s="50">
        <f t="shared" si="8"/>
        <v>12211.714090909092</v>
      </c>
      <c r="AA24" s="51">
        <f t="shared" si="9"/>
        <v>22388.142500000002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46092</v>
      </c>
      <c r="B25" s="58">
        <f t="shared" si="0"/>
        <v>11</v>
      </c>
      <c r="C25" s="40">
        <f t="shared" si="1"/>
        <v>4</v>
      </c>
      <c r="D25" s="59">
        <v>25568.97</v>
      </c>
      <c r="E25" s="42">
        <f t="shared" si="12"/>
        <v>472693.39</v>
      </c>
      <c r="F25" s="60">
        <v>20</v>
      </c>
      <c r="G25" s="61">
        <v>13</v>
      </c>
      <c r="H25" s="26">
        <f t="shared" si="13"/>
        <v>46092</v>
      </c>
      <c r="I25" s="58">
        <f t="shared" si="2"/>
        <v>11</v>
      </c>
      <c r="J25" s="40">
        <f t="shared" si="3"/>
        <v>4</v>
      </c>
      <c r="K25" s="59">
        <v>19750.87</v>
      </c>
      <c r="L25" s="42">
        <f t="shared" si="14"/>
        <v>288408.58</v>
      </c>
      <c r="M25" s="60">
        <v>20</v>
      </c>
      <c r="N25" s="61">
        <v>13</v>
      </c>
      <c r="O25" s="5"/>
      <c r="P25" s="62">
        <f t="shared" si="4"/>
        <v>-5818.1000000000022</v>
      </c>
      <c r="Q25" s="63">
        <f t="shared" si="5"/>
        <v>-0.2275453410911743</v>
      </c>
      <c r="R25" s="64">
        <f t="shared" si="6"/>
        <v>-184284.81</v>
      </c>
      <c r="S25" s="65">
        <f t="shared" si="7"/>
        <v>-0.38986119522424456</v>
      </c>
      <c r="T25" s="2"/>
      <c r="U25" s="2"/>
      <c r="V25" s="2"/>
      <c r="W25" s="5"/>
      <c r="X25" s="6"/>
      <c r="Y25" s="66">
        <v>11</v>
      </c>
      <c r="Z25" s="50">
        <f t="shared" si="8"/>
        <v>14420.429</v>
      </c>
      <c r="AA25" s="51">
        <f t="shared" si="9"/>
        <v>22185.275384615386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46093</v>
      </c>
      <c r="B26" s="58">
        <f t="shared" si="0"/>
        <v>12</v>
      </c>
      <c r="C26" s="40">
        <f t="shared" si="1"/>
        <v>5</v>
      </c>
      <c r="D26" s="59">
        <v>37925.879999999997</v>
      </c>
      <c r="E26" s="42">
        <f t="shared" si="12"/>
        <v>510619.27</v>
      </c>
      <c r="F26" s="60">
        <v>36</v>
      </c>
      <c r="G26" s="61">
        <v>20</v>
      </c>
      <c r="H26" s="26">
        <f t="shared" si="13"/>
        <v>46093</v>
      </c>
      <c r="I26" s="58">
        <f t="shared" si="2"/>
        <v>12</v>
      </c>
      <c r="J26" s="40">
        <f t="shared" si="3"/>
        <v>5</v>
      </c>
      <c r="K26" s="59">
        <v>22048.560000000001</v>
      </c>
      <c r="L26" s="42">
        <f t="shared" si="14"/>
        <v>310457.14</v>
      </c>
      <c r="M26" s="60">
        <v>24</v>
      </c>
      <c r="N26" s="61">
        <v>13</v>
      </c>
      <c r="O26" s="5"/>
      <c r="P26" s="62">
        <f t="shared" si="4"/>
        <v>-15877.319999999996</v>
      </c>
      <c r="Q26" s="63">
        <f t="shared" si="5"/>
        <v>-0.41864078038531993</v>
      </c>
      <c r="R26" s="64">
        <f t="shared" si="6"/>
        <v>-200162.13</v>
      </c>
      <c r="S26" s="65">
        <f t="shared" si="7"/>
        <v>-0.39199877826780805</v>
      </c>
      <c r="T26" s="2"/>
      <c r="U26" s="2"/>
      <c r="V26" s="2"/>
      <c r="W26" s="5"/>
      <c r="X26" s="6"/>
      <c r="Y26" s="66">
        <v>12</v>
      </c>
      <c r="Z26" s="50">
        <f t="shared" si="8"/>
        <v>12935.714166666667</v>
      </c>
      <c r="AA26" s="51">
        <f t="shared" si="9"/>
        <v>23881.318461538463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46094</v>
      </c>
      <c r="B27" s="58">
        <f t="shared" si="0"/>
        <v>13</v>
      </c>
      <c r="C27" s="40">
        <f t="shared" si="1"/>
        <v>6</v>
      </c>
      <c r="D27" s="59">
        <v>30910.51</v>
      </c>
      <c r="E27" s="42">
        <f t="shared" si="12"/>
        <v>541529.78</v>
      </c>
      <c r="F27" s="60">
        <v>34</v>
      </c>
      <c r="G27" s="61">
        <v>24</v>
      </c>
      <c r="H27" s="26">
        <f t="shared" si="13"/>
        <v>46094</v>
      </c>
      <c r="I27" s="58">
        <f t="shared" si="2"/>
        <v>13</v>
      </c>
      <c r="J27" s="40">
        <f t="shared" si="3"/>
        <v>6</v>
      </c>
      <c r="K27" s="59">
        <v>30638.799999999999</v>
      </c>
      <c r="L27" s="42">
        <f t="shared" si="14"/>
        <v>341095.94</v>
      </c>
      <c r="M27" s="60">
        <v>30</v>
      </c>
      <c r="N27" s="61">
        <v>19</v>
      </c>
      <c r="O27" s="5"/>
      <c r="P27" s="62">
        <f t="shared" si="4"/>
        <v>-271.70999999999913</v>
      </c>
      <c r="Q27" s="63">
        <f t="shared" si="5"/>
        <v>-8.7902140728185474E-3</v>
      </c>
      <c r="R27" s="64">
        <f t="shared" si="6"/>
        <v>-200433.84000000003</v>
      </c>
      <c r="S27" s="65">
        <f t="shared" si="7"/>
        <v>-0.37012524038844186</v>
      </c>
      <c r="T27" s="2"/>
      <c r="U27" s="2"/>
      <c r="V27" s="2"/>
      <c r="W27" s="5"/>
      <c r="X27" s="6"/>
      <c r="Y27" s="66">
        <v>13</v>
      </c>
      <c r="Z27" s="50">
        <f t="shared" si="8"/>
        <v>11369.864666666666</v>
      </c>
      <c r="AA27" s="51">
        <f t="shared" si="9"/>
        <v>17952.417894736842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46095</v>
      </c>
      <c r="B28" s="58">
        <f t="shared" si="0"/>
        <v>14</v>
      </c>
      <c r="C28" s="40">
        <f t="shared" si="1"/>
        <v>7</v>
      </c>
      <c r="D28" s="59">
        <v>73384.509999999995</v>
      </c>
      <c r="E28" s="42">
        <f t="shared" si="12"/>
        <v>614914.29</v>
      </c>
      <c r="F28" s="60">
        <v>57</v>
      </c>
      <c r="G28" s="61">
        <v>37</v>
      </c>
      <c r="H28" s="26">
        <f t="shared" si="13"/>
        <v>46095</v>
      </c>
      <c r="I28" s="58">
        <f t="shared" si="2"/>
        <v>14</v>
      </c>
      <c r="J28" s="40">
        <f t="shared" si="3"/>
        <v>7</v>
      </c>
      <c r="K28" s="59">
        <v>35794.15</v>
      </c>
      <c r="L28" s="42">
        <f t="shared" si="14"/>
        <v>376890.09</v>
      </c>
      <c r="M28" s="60">
        <v>29</v>
      </c>
      <c r="N28" s="61">
        <v>27</v>
      </c>
      <c r="O28" s="5"/>
      <c r="P28" s="62">
        <f t="shared" si="4"/>
        <v>-37590.359999999993</v>
      </c>
      <c r="Q28" s="63">
        <f t="shared" si="5"/>
        <v>-0.51223834566722592</v>
      </c>
      <c r="R28" s="64">
        <f t="shared" si="6"/>
        <v>-238024.2</v>
      </c>
      <c r="S28" s="65">
        <f t="shared" si="7"/>
        <v>-0.38708516596678866</v>
      </c>
      <c r="T28" s="2"/>
      <c r="U28" s="2"/>
      <c r="V28" s="2"/>
      <c r="W28" s="5"/>
      <c r="X28" s="6"/>
      <c r="Y28" s="66">
        <v>14</v>
      </c>
      <c r="Z28" s="50">
        <f t="shared" si="8"/>
        <v>12996.210000000001</v>
      </c>
      <c r="AA28" s="51">
        <f t="shared" si="9"/>
        <v>13958.892222222223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46096</v>
      </c>
      <c r="B29" s="58">
        <f t="shared" si="0"/>
        <v>15</v>
      </c>
      <c r="C29" s="40">
        <f t="shared" si="1"/>
        <v>1</v>
      </c>
      <c r="D29" s="59">
        <v>60270.09</v>
      </c>
      <c r="E29" s="42">
        <f t="shared" si="12"/>
        <v>675184.38</v>
      </c>
      <c r="F29" s="60">
        <v>57</v>
      </c>
      <c r="G29" s="61">
        <v>40</v>
      </c>
      <c r="H29" s="26">
        <f t="shared" si="13"/>
        <v>46096</v>
      </c>
      <c r="I29" s="58">
        <f t="shared" si="2"/>
        <v>15</v>
      </c>
      <c r="J29" s="40">
        <f t="shared" si="3"/>
        <v>1</v>
      </c>
      <c r="K29" s="59">
        <v>36822.21</v>
      </c>
      <c r="L29" s="42">
        <f t="shared" si="14"/>
        <v>413712.30000000005</v>
      </c>
      <c r="M29" s="60">
        <v>27</v>
      </c>
      <c r="N29" s="61">
        <v>18</v>
      </c>
      <c r="O29" s="5"/>
      <c r="P29" s="62">
        <f t="shared" si="4"/>
        <v>-23447.879999999997</v>
      </c>
      <c r="Q29" s="63">
        <f t="shared" si="5"/>
        <v>-0.38904670625180748</v>
      </c>
      <c r="R29" s="64">
        <f t="shared" si="6"/>
        <v>-261472.07999999996</v>
      </c>
      <c r="S29" s="65">
        <f t="shared" si="7"/>
        <v>-0.38726026215239151</v>
      </c>
      <c r="T29" s="2"/>
      <c r="U29" s="2"/>
      <c r="V29" s="2"/>
      <c r="W29" s="5"/>
      <c r="X29" s="6"/>
      <c r="Y29" s="66">
        <v>15</v>
      </c>
      <c r="Z29" s="50">
        <f t="shared" si="8"/>
        <v>15322.677777777779</v>
      </c>
      <c r="AA29" s="51">
        <f t="shared" si="9"/>
        <v>22984.01666666667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46097</v>
      </c>
      <c r="B30" s="58">
        <f t="shared" si="0"/>
        <v>16</v>
      </c>
      <c r="C30" s="40">
        <f t="shared" si="1"/>
        <v>2</v>
      </c>
      <c r="D30" s="59">
        <v>78328.88</v>
      </c>
      <c r="E30" s="42">
        <f t="shared" si="12"/>
        <v>753513.26</v>
      </c>
      <c r="F30" s="60">
        <v>76</v>
      </c>
      <c r="G30" s="61">
        <v>48</v>
      </c>
      <c r="H30" s="26">
        <f t="shared" si="13"/>
        <v>46097</v>
      </c>
      <c r="I30" s="58">
        <f t="shared" si="2"/>
        <v>16</v>
      </c>
      <c r="J30" s="40">
        <f t="shared" si="3"/>
        <v>2</v>
      </c>
      <c r="K30" s="59">
        <v>48179.06</v>
      </c>
      <c r="L30" s="42">
        <f t="shared" si="14"/>
        <v>461891.36000000004</v>
      </c>
      <c r="M30" s="60">
        <v>38</v>
      </c>
      <c r="N30" s="61">
        <v>27</v>
      </c>
      <c r="O30" s="5"/>
      <c r="P30" s="62">
        <f t="shared" si="4"/>
        <v>-30149.820000000007</v>
      </c>
      <c r="Q30" s="63">
        <f t="shared" si="5"/>
        <v>-0.38491320187394495</v>
      </c>
      <c r="R30" s="64">
        <f t="shared" si="6"/>
        <v>-291621.89999999997</v>
      </c>
      <c r="S30" s="65">
        <f t="shared" si="7"/>
        <v>-0.38701628157147483</v>
      </c>
      <c r="T30" s="2"/>
      <c r="U30" s="2"/>
      <c r="V30" s="2"/>
      <c r="W30" s="5"/>
      <c r="X30" s="6"/>
      <c r="Y30" s="66">
        <v>16</v>
      </c>
      <c r="Z30" s="50">
        <f t="shared" si="8"/>
        <v>12155.035789473686</v>
      </c>
      <c r="AA30" s="51">
        <f t="shared" si="9"/>
        <v>17107.087407407409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46098</v>
      </c>
      <c r="B31" s="58">
        <f t="shared" si="0"/>
        <v>17</v>
      </c>
      <c r="C31" s="40">
        <f t="shared" si="1"/>
        <v>3</v>
      </c>
      <c r="D31" s="59">
        <v>63623.7</v>
      </c>
      <c r="E31" s="42">
        <f t="shared" si="12"/>
        <v>817136.96</v>
      </c>
      <c r="F31" s="60">
        <v>62</v>
      </c>
      <c r="G31" s="61">
        <v>37</v>
      </c>
      <c r="H31" s="26">
        <f t="shared" si="13"/>
        <v>46098</v>
      </c>
      <c r="I31" s="58">
        <f t="shared" si="2"/>
        <v>17</v>
      </c>
      <c r="J31" s="40">
        <f t="shared" si="3"/>
        <v>3</v>
      </c>
      <c r="K31" s="59">
        <v>13205.17</v>
      </c>
      <c r="L31" s="42">
        <f t="shared" si="14"/>
        <v>475096.53</v>
      </c>
      <c r="M31" s="60">
        <v>12</v>
      </c>
      <c r="N31" s="61">
        <v>10</v>
      </c>
      <c r="O31" s="5"/>
      <c r="P31" s="62">
        <f t="shared" si="4"/>
        <v>-50418.53</v>
      </c>
      <c r="Q31" s="63">
        <f t="shared" si="5"/>
        <v>-0.79244888304201111</v>
      </c>
      <c r="R31" s="64">
        <f t="shared" si="6"/>
        <v>-342040.42999999993</v>
      </c>
      <c r="S31" s="65">
        <f t="shared" si="7"/>
        <v>-0.41858396663394093</v>
      </c>
      <c r="T31" s="2"/>
      <c r="U31" s="2"/>
      <c r="V31" s="2"/>
      <c r="W31" s="5"/>
      <c r="X31" s="6"/>
      <c r="Y31" s="66">
        <v>17</v>
      </c>
      <c r="Z31" s="50">
        <f t="shared" si="8"/>
        <v>39591.377500000002</v>
      </c>
      <c r="AA31" s="51">
        <f t="shared" si="9"/>
        <v>47509.653000000006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46099</v>
      </c>
      <c r="B32" s="58">
        <f t="shared" si="0"/>
        <v>18</v>
      </c>
      <c r="C32" s="40">
        <f t="shared" si="1"/>
        <v>4</v>
      </c>
      <c r="D32" s="59">
        <v>27878.74</v>
      </c>
      <c r="E32" s="42">
        <f t="shared" si="12"/>
        <v>845015.7</v>
      </c>
      <c r="F32" s="60">
        <v>21</v>
      </c>
      <c r="G32" s="61">
        <v>18</v>
      </c>
      <c r="H32" s="26">
        <f t="shared" si="13"/>
        <v>46099</v>
      </c>
      <c r="I32" s="58">
        <f t="shared" si="2"/>
        <v>18</v>
      </c>
      <c r="J32" s="40">
        <f t="shared" si="3"/>
        <v>4</v>
      </c>
      <c r="K32" s="59">
        <v>12988.81</v>
      </c>
      <c r="L32" s="42">
        <f t="shared" si="14"/>
        <v>488085.34</v>
      </c>
      <c r="M32" s="60">
        <v>13</v>
      </c>
      <c r="N32" s="61">
        <v>10</v>
      </c>
      <c r="O32" s="5"/>
      <c r="P32" s="62">
        <f t="shared" si="4"/>
        <v>-14889.930000000002</v>
      </c>
      <c r="Q32" s="63">
        <f t="shared" si="5"/>
        <v>-0.53409623246961668</v>
      </c>
      <c r="R32" s="64">
        <f t="shared" si="6"/>
        <v>-356930.35999999993</v>
      </c>
      <c r="S32" s="65">
        <f t="shared" si="7"/>
        <v>-0.42239494485132045</v>
      </c>
      <c r="T32" s="2"/>
      <c r="U32" s="2"/>
      <c r="V32" s="2"/>
      <c r="W32" s="5"/>
      <c r="X32" s="6"/>
      <c r="Y32" s="66">
        <v>18</v>
      </c>
      <c r="Z32" s="50">
        <f t="shared" si="8"/>
        <v>37545.026153846156</v>
      </c>
      <c r="AA32" s="51">
        <f t="shared" si="9"/>
        <v>48808.534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46100</v>
      </c>
      <c r="B33" s="58">
        <f t="shared" si="0"/>
        <v>19</v>
      </c>
      <c r="C33" s="40">
        <f t="shared" si="1"/>
        <v>5</v>
      </c>
      <c r="D33" s="59">
        <v>32814.67</v>
      </c>
      <c r="E33" s="42">
        <f t="shared" si="12"/>
        <v>877830.37</v>
      </c>
      <c r="F33" s="60">
        <v>35</v>
      </c>
      <c r="G33" s="61">
        <v>23</v>
      </c>
      <c r="H33" s="26">
        <f t="shared" si="13"/>
        <v>46100</v>
      </c>
      <c r="I33" s="58">
        <f t="shared" si="2"/>
        <v>19</v>
      </c>
      <c r="J33" s="40">
        <f t="shared" si="3"/>
        <v>5</v>
      </c>
      <c r="K33" s="59">
        <v>23133.360000000001</v>
      </c>
      <c r="L33" s="42">
        <f t="shared" si="14"/>
        <v>511218.7</v>
      </c>
      <c r="M33" s="60">
        <v>16</v>
      </c>
      <c r="N33" s="61">
        <v>12</v>
      </c>
      <c r="O33" s="5"/>
      <c r="P33" s="62">
        <f t="shared" si="4"/>
        <v>-9681.3099999999977</v>
      </c>
      <c r="Q33" s="63">
        <f t="shared" si="5"/>
        <v>-0.29502993630592655</v>
      </c>
      <c r="R33" s="64">
        <f t="shared" si="6"/>
        <v>-366611.67</v>
      </c>
      <c r="S33" s="65">
        <f t="shared" si="7"/>
        <v>-0.41763384194602426</v>
      </c>
      <c r="T33" s="2"/>
      <c r="U33" s="2"/>
      <c r="V33" s="2"/>
      <c r="W33" s="5"/>
      <c r="X33" s="6"/>
      <c r="Y33" s="66">
        <v>19</v>
      </c>
      <c r="Z33" s="50">
        <f t="shared" si="8"/>
        <v>31951.168750000001</v>
      </c>
      <c r="AA33" s="51">
        <f t="shared" si="9"/>
        <v>42601.558333333334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46101</v>
      </c>
      <c r="B34" s="58">
        <f t="shared" si="0"/>
        <v>20</v>
      </c>
      <c r="C34" s="40">
        <f t="shared" si="1"/>
        <v>6</v>
      </c>
      <c r="D34" s="59">
        <v>28833.11</v>
      </c>
      <c r="E34" s="42">
        <f t="shared" si="12"/>
        <v>906663.48</v>
      </c>
      <c r="F34" s="60">
        <v>34</v>
      </c>
      <c r="G34" s="61">
        <v>23</v>
      </c>
      <c r="H34" s="26">
        <f t="shared" si="13"/>
        <v>46101</v>
      </c>
      <c r="I34" s="58">
        <f t="shared" si="2"/>
        <v>20</v>
      </c>
      <c r="J34" s="40">
        <f t="shared" si="3"/>
        <v>6</v>
      </c>
      <c r="K34" s="59">
        <v>43223.29</v>
      </c>
      <c r="L34" s="42">
        <f t="shared" si="14"/>
        <v>554441.99</v>
      </c>
      <c r="M34" s="60">
        <v>31</v>
      </c>
      <c r="N34" s="61">
        <v>18</v>
      </c>
      <c r="O34" s="5"/>
      <c r="P34" s="62">
        <f t="shared" si="4"/>
        <v>14390.18</v>
      </c>
      <c r="Q34" s="63">
        <f t="shared" si="5"/>
        <v>0.49908525303028362</v>
      </c>
      <c r="R34" s="64">
        <f t="shared" si="6"/>
        <v>-352221.49</v>
      </c>
      <c r="S34" s="65">
        <f t="shared" si="7"/>
        <v>-0.38848094995510352</v>
      </c>
      <c r="T34" s="2"/>
      <c r="U34" s="2"/>
      <c r="V34" s="2"/>
      <c r="W34" s="5"/>
      <c r="X34" s="6"/>
      <c r="Y34" s="66">
        <v>20</v>
      </c>
      <c r="Z34" s="50">
        <f t="shared" si="8"/>
        <v>17885.225483870967</v>
      </c>
      <c r="AA34" s="51">
        <f t="shared" si="9"/>
        <v>30802.332777777778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46102</v>
      </c>
      <c r="B35" s="58">
        <f t="shared" si="0"/>
        <v>21</v>
      </c>
      <c r="C35" s="40">
        <f t="shared" si="1"/>
        <v>7</v>
      </c>
      <c r="D35" s="59">
        <v>57189.64</v>
      </c>
      <c r="E35" s="42">
        <f t="shared" si="12"/>
        <v>963853.12</v>
      </c>
      <c r="F35" s="60">
        <v>40</v>
      </c>
      <c r="G35" s="61">
        <v>25</v>
      </c>
      <c r="H35" s="26">
        <f t="shared" si="13"/>
        <v>46102</v>
      </c>
      <c r="I35" s="58">
        <f t="shared" si="2"/>
        <v>21</v>
      </c>
      <c r="J35" s="40">
        <f t="shared" si="3"/>
        <v>7</v>
      </c>
      <c r="K35" s="59">
        <v>74106.83</v>
      </c>
      <c r="L35" s="42">
        <f t="shared" si="14"/>
        <v>628548.81999999995</v>
      </c>
      <c r="M35" s="60">
        <v>57</v>
      </c>
      <c r="N35" s="61">
        <v>36</v>
      </c>
      <c r="O35" s="5"/>
      <c r="P35" s="62">
        <f t="shared" si="4"/>
        <v>16917.190000000002</v>
      </c>
      <c r="Q35" s="63">
        <f t="shared" si="5"/>
        <v>0.29580864646114224</v>
      </c>
      <c r="R35" s="64">
        <f t="shared" si="6"/>
        <v>-335304.30000000005</v>
      </c>
      <c r="S35" s="65">
        <f t="shared" si="7"/>
        <v>-0.34787904198515229</v>
      </c>
      <c r="T35" s="2"/>
      <c r="U35" s="2"/>
      <c r="V35" s="2"/>
      <c r="W35" s="5"/>
      <c r="X35" s="6"/>
      <c r="Y35" s="66">
        <v>21</v>
      </c>
      <c r="Z35" s="50">
        <f t="shared" si="8"/>
        <v>11027.172280701754</v>
      </c>
      <c r="AA35" s="51">
        <f t="shared" si="9"/>
        <v>17459.689444444444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46103</v>
      </c>
      <c r="B36" s="58">
        <f t="shared" si="0"/>
        <v>22</v>
      </c>
      <c r="C36" s="40">
        <f t="shared" si="1"/>
        <v>1</v>
      </c>
      <c r="D36" s="59">
        <v>92379.59</v>
      </c>
      <c r="E36" s="42">
        <f t="shared" si="12"/>
        <v>1056232.71</v>
      </c>
      <c r="F36" s="60">
        <v>90</v>
      </c>
      <c r="G36" s="61">
        <v>53</v>
      </c>
      <c r="H36" s="26">
        <f t="shared" si="13"/>
        <v>46103</v>
      </c>
      <c r="I36" s="58">
        <f t="shared" si="2"/>
        <v>22</v>
      </c>
      <c r="J36" s="40">
        <f t="shared" si="3"/>
        <v>1</v>
      </c>
      <c r="K36" s="59">
        <v>71875.710000000006</v>
      </c>
      <c r="L36" s="42">
        <f t="shared" si="14"/>
        <v>700424.52999999991</v>
      </c>
      <c r="M36" s="60">
        <v>57</v>
      </c>
      <c r="N36" s="61">
        <v>30</v>
      </c>
      <c r="O36" s="5"/>
      <c r="P36" s="62">
        <f t="shared" si="4"/>
        <v>-20503.87999999999</v>
      </c>
      <c r="Q36" s="63">
        <f t="shared" si="5"/>
        <v>-0.22195248972202619</v>
      </c>
      <c r="R36" s="64">
        <f t="shared" si="6"/>
        <v>-355808.18000000005</v>
      </c>
      <c r="S36" s="65">
        <f t="shared" si="7"/>
        <v>-0.33686532961093396</v>
      </c>
      <c r="T36" s="2"/>
      <c r="U36" s="2"/>
      <c r="V36" s="2"/>
      <c r="W36" s="5"/>
      <c r="X36" s="6"/>
      <c r="Y36" s="66">
        <v>22</v>
      </c>
      <c r="Z36" s="50">
        <f t="shared" si="8"/>
        <v>12288.149649122806</v>
      </c>
      <c r="AA36" s="51">
        <f t="shared" si="9"/>
        <v>23347.48433333333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46104</v>
      </c>
      <c r="B37" s="58">
        <f t="shared" si="0"/>
        <v>23</v>
      </c>
      <c r="C37" s="40">
        <f t="shared" si="1"/>
        <v>2</v>
      </c>
      <c r="D37" s="59">
        <v>57206.03</v>
      </c>
      <c r="E37" s="42">
        <f t="shared" si="12"/>
        <v>1113438.74</v>
      </c>
      <c r="F37" s="60">
        <v>61</v>
      </c>
      <c r="G37" s="61">
        <v>36</v>
      </c>
      <c r="H37" s="26">
        <f t="shared" si="13"/>
        <v>46104</v>
      </c>
      <c r="I37" s="58">
        <f t="shared" si="2"/>
        <v>23</v>
      </c>
      <c r="J37" s="40">
        <f t="shared" si="3"/>
        <v>2</v>
      </c>
      <c r="K37" s="59">
        <v>33968.1</v>
      </c>
      <c r="L37" s="42">
        <f t="shared" si="14"/>
        <v>734392.62999999989</v>
      </c>
      <c r="M37" s="60">
        <v>27</v>
      </c>
      <c r="N37" s="61">
        <v>15</v>
      </c>
      <c r="O37" s="5"/>
      <c r="P37" s="62">
        <f t="shared" si="4"/>
        <v>-23237.93</v>
      </c>
      <c r="Q37" s="63">
        <f t="shared" si="5"/>
        <v>-0.40621469449986303</v>
      </c>
      <c r="R37" s="64">
        <f t="shared" si="6"/>
        <v>-379046.1100000001</v>
      </c>
      <c r="S37" s="65">
        <f t="shared" si="7"/>
        <v>-0.34042834722995186</v>
      </c>
      <c r="T37" s="2"/>
      <c r="U37" s="2"/>
      <c r="V37" s="2"/>
      <c r="W37" s="5"/>
      <c r="X37" s="6"/>
      <c r="Y37" s="66">
        <v>23</v>
      </c>
      <c r="Z37" s="50">
        <f t="shared" si="8"/>
        <v>27199.727037037032</v>
      </c>
      <c r="AA37" s="51">
        <f t="shared" si="9"/>
        <v>48959.508666666661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46105</v>
      </c>
      <c r="B38" s="58">
        <f t="shared" si="0"/>
        <v>24</v>
      </c>
      <c r="C38" s="40">
        <f t="shared" si="1"/>
        <v>3</v>
      </c>
      <c r="D38" s="59">
        <v>40542.51</v>
      </c>
      <c r="E38" s="42">
        <f t="shared" si="12"/>
        <v>1153981.25</v>
      </c>
      <c r="F38" s="60">
        <v>39</v>
      </c>
      <c r="G38" s="61">
        <v>24</v>
      </c>
      <c r="H38" s="26">
        <f t="shared" si="13"/>
        <v>46105</v>
      </c>
      <c r="I38" s="58">
        <f t="shared" si="2"/>
        <v>24</v>
      </c>
      <c r="J38" s="40">
        <f t="shared" si="3"/>
        <v>3</v>
      </c>
      <c r="K38" s="59">
        <v>21111.48</v>
      </c>
      <c r="L38" s="42">
        <f t="shared" si="14"/>
        <v>755504.10999999987</v>
      </c>
      <c r="M38" s="60">
        <v>26</v>
      </c>
      <c r="N38" s="61">
        <v>16</v>
      </c>
      <c r="O38" s="5"/>
      <c r="P38" s="62">
        <f t="shared" si="4"/>
        <v>-19431.030000000002</v>
      </c>
      <c r="Q38" s="63">
        <f t="shared" si="5"/>
        <v>-0.47927545679830874</v>
      </c>
      <c r="R38" s="64">
        <f t="shared" si="6"/>
        <v>-398477.14000000013</v>
      </c>
      <c r="S38" s="65">
        <f t="shared" si="7"/>
        <v>-0.34530642503940179</v>
      </c>
      <c r="T38" s="2"/>
      <c r="U38" s="2"/>
      <c r="V38" s="2"/>
      <c r="W38" s="5"/>
      <c r="X38" s="6"/>
      <c r="Y38" s="66">
        <v>24</v>
      </c>
      <c r="Z38" s="50">
        <f t="shared" si="8"/>
        <v>29057.85038461538</v>
      </c>
      <c r="AA38" s="51">
        <f t="shared" si="9"/>
        <v>47219.006874999992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46106</v>
      </c>
      <c r="B39" s="58">
        <f t="shared" si="0"/>
        <v>25</v>
      </c>
      <c r="C39" s="40">
        <f t="shared" si="1"/>
        <v>4</v>
      </c>
      <c r="D39" s="59">
        <v>25003.46</v>
      </c>
      <c r="E39" s="42">
        <f t="shared" si="12"/>
        <v>1178984.71</v>
      </c>
      <c r="F39" s="60">
        <v>26</v>
      </c>
      <c r="G39" s="61">
        <v>17</v>
      </c>
      <c r="H39" s="26">
        <f t="shared" si="13"/>
        <v>46106</v>
      </c>
      <c r="I39" s="58">
        <f t="shared" si="2"/>
        <v>25</v>
      </c>
      <c r="J39" s="40">
        <f t="shared" si="3"/>
        <v>4</v>
      </c>
      <c r="K39" s="59">
        <v>28328.46</v>
      </c>
      <c r="L39" s="42">
        <f t="shared" si="14"/>
        <v>783832.56999999983</v>
      </c>
      <c r="M39" s="60">
        <v>29</v>
      </c>
      <c r="N39" s="61">
        <v>13</v>
      </c>
      <c r="O39" s="5"/>
      <c r="P39" s="62">
        <f t="shared" si="4"/>
        <v>3325</v>
      </c>
      <c r="Q39" s="63">
        <f t="shared" si="5"/>
        <v>0.132981595347204</v>
      </c>
      <c r="R39" s="64">
        <f t="shared" si="6"/>
        <v>-395152.14000000013</v>
      </c>
      <c r="S39" s="65">
        <f t="shared" si="7"/>
        <v>-0.33516307433707104</v>
      </c>
      <c r="T39" s="2"/>
      <c r="U39" s="2"/>
      <c r="V39" s="2"/>
      <c r="W39" s="5"/>
      <c r="X39" s="6"/>
      <c r="Y39" s="66">
        <v>25</v>
      </c>
      <c r="Z39" s="50">
        <f t="shared" si="8"/>
        <v>27028.709310344821</v>
      </c>
      <c r="AA39" s="51">
        <f t="shared" si="9"/>
        <v>60294.813076923063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46107</v>
      </c>
      <c r="B40" s="58">
        <f t="shared" si="0"/>
        <v>26</v>
      </c>
      <c r="C40" s="40">
        <f t="shared" si="1"/>
        <v>5</v>
      </c>
      <c r="D40" s="59">
        <v>40542.620000000003</v>
      </c>
      <c r="E40" s="42">
        <f t="shared" si="12"/>
        <v>1219527.33</v>
      </c>
      <c r="F40" s="60">
        <v>41</v>
      </c>
      <c r="G40" s="61">
        <v>19</v>
      </c>
      <c r="H40" s="26">
        <f t="shared" si="13"/>
        <v>46107</v>
      </c>
      <c r="I40" s="58">
        <f t="shared" si="2"/>
        <v>26</v>
      </c>
      <c r="J40" s="40">
        <f t="shared" si="3"/>
        <v>5</v>
      </c>
      <c r="K40" s="59">
        <v>34859.75</v>
      </c>
      <c r="L40" s="42">
        <f t="shared" si="14"/>
        <v>818692.31999999983</v>
      </c>
      <c r="M40" s="60">
        <v>28</v>
      </c>
      <c r="N40" s="61">
        <v>17</v>
      </c>
      <c r="O40" s="5"/>
      <c r="P40" s="62">
        <f t="shared" si="4"/>
        <v>-5682.8700000000026</v>
      </c>
      <c r="Q40" s="63">
        <f t="shared" si="5"/>
        <v>-0.14017027019960726</v>
      </c>
      <c r="R40" s="64">
        <f t="shared" si="6"/>
        <v>-400835.01000000024</v>
      </c>
      <c r="S40" s="65">
        <f t="shared" si="7"/>
        <v>-0.328680629076185</v>
      </c>
      <c r="T40" s="2"/>
      <c r="U40" s="2"/>
      <c r="V40" s="2"/>
      <c r="W40" s="5"/>
      <c r="X40" s="6"/>
      <c r="Y40" s="66">
        <v>26</v>
      </c>
      <c r="Z40" s="50">
        <f t="shared" si="8"/>
        <v>29239.011428571423</v>
      </c>
      <c r="AA40" s="51">
        <f t="shared" si="9"/>
        <v>48158.371764705873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46108</v>
      </c>
      <c r="B41" s="58">
        <f t="shared" si="0"/>
        <v>27</v>
      </c>
      <c r="C41" s="40">
        <f t="shared" si="1"/>
        <v>6</v>
      </c>
      <c r="D41" s="59">
        <v>35715.56</v>
      </c>
      <c r="E41" s="42">
        <f t="shared" si="12"/>
        <v>1255242.8900000001</v>
      </c>
      <c r="F41" s="60">
        <v>40</v>
      </c>
      <c r="G41" s="61">
        <v>20</v>
      </c>
      <c r="H41" s="26">
        <f t="shared" si="13"/>
        <v>46108</v>
      </c>
      <c r="I41" s="58">
        <f t="shared" si="2"/>
        <v>27</v>
      </c>
      <c r="J41" s="40">
        <f t="shared" si="3"/>
        <v>6</v>
      </c>
      <c r="K41" s="59">
        <v>36709.75</v>
      </c>
      <c r="L41" s="42">
        <f t="shared" si="14"/>
        <v>855402.06999999983</v>
      </c>
      <c r="M41" s="60">
        <v>32</v>
      </c>
      <c r="N41" s="61">
        <v>25</v>
      </c>
      <c r="O41" s="5"/>
      <c r="P41" s="62">
        <f t="shared" si="4"/>
        <v>994.19000000000233</v>
      </c>
      <c r="Q41" s="63">
        <f t="shared" si="5"/>
        <v>2.7836326799859812E-2</v>
      </c>
      <c r="R41" s="64">
        <f t="shared" si="6"/>
        <v>-399840.8200000003</v>
      </c>
      <c r="S41" s="65">
        <f t="shared" si="7"/>
        <v>-0.31853661405722067</v>
      </c>
      <c r="T41" s="2"/>
      <c r="U41" s="2"/>
      <c r="V41" s="2"/>
      <c r="W41" s="5"/>
      <c r="X41" s="6"/>
      <c r="Y41" s="66">
        <v>27</v>
      </c>
      <c r="Z41" s="50">
        <f t="shared" si="8"/>
        <v>26731.314687499995</v>
      </c>
      <c r="AA41" s="51">
        <f t="shared" si="9"/>
        <v>34216.082799999996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46109</v>
      </c>
      <c r="B42" s="58">
        <f t="shared" si="0"/>
        <v>28</v>
      </c>
      <c r="C42" s="40">
        <f t="shared" si="1"/>
        <v>7</v>
      </c>
      <c r="D42" s="59">
        <v>70029.75</v>
      </c>
      <c r="E42" s="42">
        <f t="shared" si="12"/>
        <v>1325272.6400000001</v>
      </c>
      <c r="F42" s="60">
        <v>56</v>
      </c>
      <c r="G42" s="61">
        <v>39</v>
      </c>
      <c r="H42" s="26">
        <f t="shared" si="13"/>
        <v>46109</v>
      </c>
      <c r="I42" s="58">
        <f t="shared" si="2"/>
        <v>28</v>
      </c>
      <c r="J42" s="40">
        <f t="shared" si="3"/>
        <v>7</v>
      </c>
      <c r="K42" s="59">
        <v>60584.54</v>
      </c>
      <c r="L42" s="42">
        <f t="shared" si="14"/>
        <v>915986.60999999987</v>
      </c>
      <c r="M42" s="60">
        <v>42</v>
      </c>
      <c r="N42" s="61">
        <v>33</v>
      </c>
      <c r="O42" s="5"/>
      <c r="P42" s="62">
        <f t="shared" si="4"/>
        <v>-9445.2099999999991</v>
      </c>
      <c r="Q42" s="63">
        <f t="shared" si="5"/>
        <v>-0.13487424987237562</v>
      </c>
      <c r="R42" s="64">
        <f t="shared" si="6"/>
        <v>-409286.03000000026</v>
      </c>
      <c r="S42" s="65">
        <f t="shared" si="7"/>
        <v>-0.30883156993265948</v>
      </c>
      <c r="T42" s="2"/>
      <c r="U42" s="2"/>
      <c r="V42" s="2"/>
      <c r="W42" s="5"/>
      <c r="X42" s="6"/>
      <c r="Y42" s="66">
        <v>28</v>
      </c>
      <c r="Z42" s="50">
        <f t="shared" si="8"/>
        <v>21809.204999999998</v>
      </c>
      <c r="AA42" s="51">
        <f t="shared" si="9"/>
        <v>27757.169999999995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46110</v>
      </c>
      <c r="B43" s="58">
        <f t="shared" si="0"/>
        <v>29</v>
      </c>
      <c r="C43" s="40">
        <f t="shared" si="1"/>
        <v>1</v>
      </c>
      <c r="D43" s="59">
        <v>76895.25</v>
      </c>
      <c r="E43" s="42">
        <f t="shared" si="12"/>
        <v>1402167.8900000001</v>
      </c>
      <c r="F43" s="60">
        <v>82</v>
      </c>
      <c r="G43" s="61">
        <v>51</v>
      </c>
      <c r="H43" s="26">
        <f t="shared" si="13"/>
        <v>46110</v>
      </c>
      <c r="I43" s="58">
        <f t="shared" si="2"/>
        <v>29</v>
      </c>
      <c r="J43" s="40">
        <f t="shared" si="3"/>
        <v>1</v>
      </c>
      <c r="K43" s="59">
        <v>76895.7</v>
      </c>
      <c r="L43" s="42">
        <f t="shared" si="14"/>
        <v>992882.30999999982</v>
      </c>
      <c r="M43" s="60">
        <v>57</v>
      </c>
      <c r="N43" s="61">
        <v>35</v>
      </c>
      <c r="O43" s="5"/>
      <c r="P43" s="62">
        <f t="shared" si="4"/>
        <v>0.44999999999708962</v>
      </c>
      <c r="Q43" s="63">
        <f t="shared" si="5"/>
        <v>5.8521170032133085E-6</v>
      </c>
      <c r="R43" s="64">
        <f t="shared" si="6"/>
        <v>-409285.58000000031</v>
      </c>
      <c r="S43" s="65">
        <f t="shared" si="7"/>
        <v>-0.29189484577342606</v>
      </c>
      <c r="T43" s="2"/>
      <c r="U43" s="2"/>
      <c r="V43" s="2"/>
      <c r="W43" s="5"/>
      <c r="X43" s="6"/>
      <c r="Y43" s="66">
        <v>29</v>
      </c>
      <c r="Z43" s="50">
        <f t="shared" si="8"/>
        <v>17418.987894736838</v>
      </c>
      <c r="AA43" s="51">
        <f t="shared" si="9"/>
        <v>28368.065999999995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46111</v>
      </c>
      <c r="B44" s="58">
        <f t="shared" si="0"/>
        <v>30</v>
      </c>
      <c r="C44" s="40">
        <f t="shared" si="1"/>
        <v>2</v>
      </c>
      <c r="D44" s="59">
        <v>65667.38</v>
      </c>
      <c r="E44" s="42">
        <f t="shared" si="12"/>
        <v>1467835.27</v>
      </c>
      <c r="F44" s="60">
        <v>57</v>
      </c>
      <c r="G44" s="61">
        <v>38</v>
      </c>
      <c r="H44" s="26">
        <f t="shared" si="13"/>
        <v>46111</v>
      </c>
      <c r="I44" s="58">
        <f t="shared" si="2"/>
        <v>30</v>
      </c>
      <c r="J44" s="40">
        <f t="shared" si="3"/>
        <v>2</v>
      </c>
      <c r="K44" s="59">
        <v>54135.6</v>
      </c>
      <c r="L44" s="42">
        <f t="shared" si="14"/>
        <v>1047017.9099999998</v>
      </c>
      <c r="M44" s="60">
        <v>36</v>
      </c>
      <c r="N44" s="61">
        <v>25</v>
      </c>
      <c r="O44" s="5"/>
      <c r="P44" s="62">
        <f t="shared" si="4"/>
        <v>-11531.780000000006</v>
      </c>
      <c r="Q44" s="63">
        <f t="shared" si="5"/>
        <v>-0.17560895531388654</v>
      </c>
      <c r="R44" s="64">
        <f t="shared" si="6"/>
        <v>-420817.36000000022</v>
      </c>
      <c r="S44" s="65">
        <f t="shared" si="7"/>
        <v>-0.28669249785774686</v>
      </c>
      <c r="T44" s="2"/>
      <c r="U44" s="2"/>
      <c r="V44" s="2"/>
      <c r="W44" s="5"/>
      <c r="X44" s="6"/>
      <c r="Y44" s="66">
        <v>30</v>
      </c>
      <c r="Z44" s="50">
        <f t="shared" si="8"/>
        <v>29083.830833333326</v>
      </c>
      <c r="AA44" s="51">
        <f t="shared" si="9"/>
        <v>41880.71639999999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46112</v>
      </c>
      <c r="B45" s="74">
        <f t="shared" si="0"/>
        <v>31</v>
      </c>
      <c r="C45" s="75">
        <f t="shared" si="1"/>
        <v>3</v>
      </c>
      <c r="D45" s="76">
        <v>16762.07</v>
      </c>
      <c r="E45" s="77">
        <f t="shared" si="12"/>
        <v>1484597.34</v>
      </c>
      <c r="F45" s="78">
        <v>16</v>
      </c>
      <c r="G45" s="79">
        <v>12</v>
      </c>
      <c r="H45" s="26">
        <f t="shared" si="13"/>
        <v>46112</v>
      </c>
      <c r="I45" s="74">
        <f t="shared" si="2"/>
        <v>31</v>
      </c>
      <c r="J45" s="40">
        <f t="shared" si="3"/>
        <v>3</v>
      </c>
      <c r="K45" s="76">
        <v>40793.949999999997</v>
      </c>
      <c r="L45" s="77">
        <f t="shared" si="14"/>
        <v>1087811.8599999999</v>
      </c>
      <c r="M45" s="78">
        <v>29</v>
      </c>
      <c r="N45" s="79">
        <v>20</v>
      </c>
      <c r="O45" s="5"/>
      <c r="P45" s="80">
        <f t="shared" si="4"/>
        <v>24031.879999999997</v>
      </c>
      <c r="Q45" s="81">
        <f t="shared" si="5"/>
        <v>1.433705980227979</v>
      </c>
      <c r="R45" s="82">
        <f t="shared" si="6"/>
        <v>-396785.48000000021</v>
      </c>
      <c r="S45" s="83">
        <f t="shared" si="7"/>
        <v>-0.26726807957233722</v>
      </c>
      <c r="T45" s="2"/>
      <c r="U45" s="2"/>
      <c r="V45" s="2"/>
      <c r="W45" s="5"/>
      <c r="X45" s="6"/>
      <c r="Y45" s="84">
        <v>31</v>
      </c>
      <c r="Z45" s="50">
        <f t="shared" si="8"/>
        <v>37510.753793103446</v>
      </c>
      <c r="AA45" s="51">
        <f t="shared" si="9"/>
        <v>54390.592999999993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1429</v>
      </c>
      <c r="G46" s="89">
        <f t="shared" si="45"/>
        <v>926</v>
      </c>
      <c r="H46" s="2"/>
      <c r="I46" s="2"/>
      <c r="J46" s="2"/>
      <c r="K46" s="2"/>
      <c r="L46" s="2"/>
      <c r="M46" s="89">
        <f t="shared" ref="M46:N46" si="46">SUM(M15:M45)</f>
        <v>889</v>
      </c>
      <c r="N46" s="89">
        <f t="shared" si="46"/>
        <v>593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1834.4213490725124</v>
      </c>
      <c r="AA46" s="92">
        <f>IFERROR(M46/N46,0)</f>
        <v>1.4991568296795952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1484597.34</v>
      </c>
      <c r="F47" s="97"/>
      <c r="G47" s="97"/>
      <c r="H47" s="98"/>
      <c r="I47" s="129" t="s">
        <v>40</v>
      </c>
      <c r="J47" s="130"/>
      <c r="K47" s="96">
        <f>SUM(K15:K45)</f>
        <v>1087811.8599999999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1722132.9143999999</v>
      </c>
      <c r="F48" s="97"/>
      <c r="G48" s="97"/>
      <c r="H48" s="104"/>
      <c r="I48" s="129" t="s">
        <v>43</v>
      </c>
      <c r="J48" s="130"/>
      <c r="K48" s="103">
        <f>K47*1.16</f>
        <v>1261861.7575999997</v>
      </c>
      <c r="L48" s="105" t="s">
        <v>44</v>
      </c>
      <c r="M48" s="106"/>
      <c r="N48" s="106"/>
      <c r="O48" s="106"/>
      <c r="P48" s="106"/>
      <c r="Q48" s="106"/>
      <c r="R48" s="107">
        <f>K47-E47</f>
        <v>-396785.48000000021</v>
      </c>
      <c r="S48" s="108">
        <f>IFERROR(+K47/E47-1,0)</f>
        <v>-0.26726807957233722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48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-1087811.8599999999</v>
      </c>
      <c r="BN49" s="113">
        <f t="shared" ref="BN49:BO49" si="48">+BN46-M46</f>
        <v>-889</v>
      </c>
      <c r="BO49" s="114">
        <f t="shared" si="48"/>
        <v>-593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59" priority="1" operator="lessThan">
      <formula>0</formula>
    </cfRule>
  </conditionalFormatting>
  <conditionalFormatting sqref="E47:G48 K47:K48">
    <cfRule type="cellIs" dxfId="58" priority="2" operator="lessThan">
      <formula>0</formula>
    </cfRule>
  </conditionalFormatting>
  <conditionalFormatting sqref="K15:L45">
    <cfRule type="cellIs" dxfId="57" priority="3" operator="lessThan">
      <formula>0</formula>
    </cfRule>
  </conditionalFormatting>
  <conditionalFormatting sqref="P15:S45">
    <cfRule type="cellIs" dxfId="56" priority="4" operator="lessThan">
      <formula>0</formula>
    </cfRule>
  </conditionalFormatting>
  <conditionalFormatting sqref="R48:S48">
    <cfRule type="cellIs" dxfId="55" priority="5" operator="lessThan">
      <formula>0</formula>
    </cfRule>
  </conditionalFormatting>
  <conditionalFormatting sqref="V8">
    <cfRule type="expression" dxfId="54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2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2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2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200-000003000000}">
          <x14:formula1>
            <xm:f>DTA!$I$4:$I$18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2025</v>
      </c>
      <c r="D1" s="3">
        <f>VLOOKUP(D3,DTA!$B$3:$C$15,2,FALSE)</f>
        <v>4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2025</v>
      </c>
      <c r="D3" s="11" t="s">
        <v>3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3</v>
      </c>
      <c r="S8" s="11">
        <v>1</v>
      </c>
      <c r="T8" s="2"/>
      <c r="U8" s="138"/>
      <c r="V8" s="16">
        <f>1383011.11+152358.12</f>
        <v>1535369.23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4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11</v>
      </c>
      <c r="C13" s="147"/>
      <c r="D13" s="147"/>
      <c r="E13" s="147"/>
      <c r="F13" s="147"/>
      <c r="G13" s="148"/>
      <c r="H13" s="5"/>
      <c r="I13" s="149" t="s">
        <v>38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0.67576731363829656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45748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46113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45748</v>
      </c>
      <c r="B15" s="39">
        <f t="shared" ref="B15:B45" si="0">+DAY(A15)</f>
        <v>1</v>
      </c>
      <c r="C15" s="40">
        <f t="shared" ref="C15:C45" si="1">+WEEKDAY(A15)</f>
        <v>3</v>
      </c>
      <c r="D15" s="41">
        <v>31798.12</v>
      </c>
      <c r="E15" s="42">
        <f>D15</f>
        <v>31798.12</v>
      </c>
      <c r="F15" s="43">
        <v>25</v>
      </c>
      <c r="G15" s="44">
        <v>20</v>
      </c>
      <c r="H15" s="26">
        <f>H14</f>
        <v>46113</v>
      </c>
      <c r="I15" s="39">
        <f t="shared" ref="I15:I45" si="2">+DAY(H15)</f>
        <v>1</v>
      </c>
      <c r="J15" s="40">
        <f t="shared" ref="J15:J45" si="3">+WEEKDAY(H15)</f>
        <v>4</v>
      </c>
      <c r="K15" s="41">
        <v>42898.54</v>
      </c>
      <c r="L15" s="42">
        <f>K15</f>
        <v>42898.54</v>
      </c>
      <c r="M15" s="43">
        <v>28</v>
      </c>
      <c r="N15" s="44">
        <v>17</v>
      </c>
      <c r="O15" s="5"/>
      <c r="P15" s="45">
        <f t="shared" ref="P15:P45" si="4">IF(NOT(ISBLANK(K15)),SUM(K15-D15),"")</f>
        <v>11100.420000000002</v>
      </c>
      <c r="Q15" s="46">
        <f t="shared" ref="Q15:Q45" si="5">IF(NOT(ISBLANK(K15)),IFERROR(((K15/D15)-1)," ")," ")</f>
        <v>0.34909044937247868</v>
      </c>
      <c r="R15" s="47">
        <f t="shared" ref="R15:R45" si="6">IF(NOT(ISBLANK(K15)),SUM(L15-E15),"")</f>
        <v>11100.420000000002</v>
      </c>
      <c r="S15" s="48">
        <f t="shared" ref="S15:S45" si="7">IFERROR(((L15/E15)-1),"")</f>
        <v>0.34909044937247868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1532.0907142857143</v>
      </c>
      <c r="AA15" s="51">
        <f t="shared" ref="AA15:AA45" si="9">IFERROR((L15/N15)," ")</f>
        <v>2523.4435294117648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45749</v>
      </c>
      <c r="B16" s="58">
        <f t="shared" si="0"/>
        <v>2</v>
      </c>
      <c r="C16" s="40">
        <f t="shared" si="1"/>
        <v>4</v>
      </c>
      <c r="D16" s="59">
        <v>25413.200000000001</v>
      </c>
      <c r="E16" s="42">
        <f t="shared" ref="E16:E45" si="12">IF(NOT(ISBLANK(D16)),SUM(E15+D16),"")</f>
        <v>57211.32</v>
      </c>
      <c r="F16" s="60">
        <v>21</v>
      </c>
      <c r="G16" s="61">
        <v>18</v>
      </c>
      <c r="H16" s="26">
        <f t="shared" ref="H16:H45" si="13">H15+1</f>
        <v>46114</v>
      </c>
      <c r="I16" s="58">
        <f t="shared" si="2"/>
        <v>2</v>
      </c>
      <c r="J16" s="40">
        <f t="shared" si="3"/>
        <v>5</v>
      </c>
      <c r="K16" s="59">
        <v>57741.66</v>
      </c>
      <c r="L16" s="42">
        <f t="shared" ref="L16:L45" si="14">IF(NOT(ISBLANK(K16)),SUM(L15+K16),"")</f>
        <v>100640.20000000001</v>
      </c>
      <c r="M16" s="60">
        <v>51</v>
      </c>
      <c r="N16" s="61">
        <v>29</v>
      </c>
      <c r="O16" s="5"/>
      <c r="P16" s="62">
        <f t="shared" si="4"/>
        <v>32328.460000000003</v>
      </c>
      <c r="Q16" s="63">
        <f t="shared" si="5"/>
        <v>1.2721129176963153</v>
      </c>
      <c r="R16" s="64">
        <f t="shared" si="6"/>
        <v>43428.880000000012</v>
      </c>
      <c r="S16" s="65">
        <f t="shared" si="7"/>
        <v>0.75909592716965824</v>
      </c>
      <c r="T16" s="2"/>
      <c r="U16" s="2"/>
      <c r="V16" s="2"/>
      <c r="W16" s="5"/>
      <c r="X16" s="6"/>
      <c r="Y16" s="66">
        <v>2</v>
      </c>
      <c r="Z16" s="50">
        <f t="shared" si="8"/>
        <v>1973.3372549019609</v>
      </c>
      <c r="AA16" s="51">
        <f t="shared" si="9"/>
        <v>3470.3517241379313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45750</v>
      </c>
      <c r="B17" s="58">
        <f t="shared" si="0"/>
        <v>3</v>
      </c>
      <c r="C17" s="40">
        <f t="shared" si="1"/>
        <v>5</v>
      </c>
      <c r="D17" s="59">
        <v>39169.730000000003</v>
      </c>
      <c r="E17" s="42">
        <f t="shared" si="12"/>
        <v>96381.05</v>
      </c>
      <c r="F17" s="60">
        <v>39</v>
      </c>
      <c r="G17" s="61">
        <v>21</v>
      </c>
      <c r="H17" s="26">
        <f t="shared" si="13"/>
        <v>46115</v>
      </c>
      <c r="I17" s="58">
        <f t="shared" si="2"/>
        <v>3</v>
      </c>
      <c r="J17" s="40">
        <f t="shared" si="3"/>
        <v>6</v>
      </c>
      <c r="K17" s="59">
        <v>57012.95</v>
      </c>
      <c r="L17" s="42">
        <f t="shared" si="14"/>
        <v>157653.15000000002</v>
      </c>
      <c r="M17" s="60">
        <v>44</v>
      </c>
      <c r="N17" s="61">
        <v>26</v>
      </c>
      <c r="O17" s="5"/>
      <c r="P17" s="62">
        <f t="shared" si="4"/>
        <v>17843.219999999994</v>
      </c>
      <c r="Q17" s="63">
        <f t="shared" si="5"/>
        <v>0.45553594574177536</v>
      </c>
      <c r="R17" s="64">
        <f t="shared" si="6"/>
        <v>61272.10000000002</v>
      </c>
      <c r="S17" s="65">
        <f t="shared" si="7"/>
        <v>0.63572766638255152</v>
      </c>
      <c r="T17" s="2"/>
      <c r="U17" s="2"/>
      <c r="V17" s="2"/>
      <c r="W17" s="5"/>
      <c r="X17" s="6"/>
      <c r="Y17" s="66">
        <v>3</v>
      </c>
      <c r="Z17" s="50">
        <f t="shared" si="8"/>
        <v>3583.0261363636369</v>
      </c>
      <c r="AA17" s="51">
        <f t="shared" si="9"/>
        <v>6063.5826923076929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45751</v>
      </c>
      <c r="B18" s="58">
        <f t="shared" si="0"/>
        <v>4</v>
      </c>
      <c r="C18" s="40">
        <f t="shared" si="1"/>
        <v>6</v>
      </c>
      <c r="D18" s="59">
        <v>58373.62</v>
      </c>
      <c r="E18" s="42">
        <f t="shared" si="12"/>
        <v>154754.67000000001</v>
      </c>
      <c r="F18" s="60">
        <v>49</v>
      </c>
      <c r="G18" s="61">
        <v>30</v>
      </c>
      <c r="H18" s="26">
        <f t="shared" si="13"/>
        <v>46116</v>
      </c>
      <c r="I18" s="58">
        <f t="shared" si="2"/>
        <v>4</v>
      </c>
      <c r="J18" s="40">
        <f t="shared" si="3"/>
        <v>7</v>
      </c>
      <c r="K18" s="59">
        <v>89160.83</v>
      </c>
      <c r="L18" s="42">
        <f t="shared" si="14"/>
        <v>246813.98000000004</v>
      </c>
      <c r="M18" s="60">
        <v>70</v>
      </c>
      <c r="N18" s="61">
        <v>28</v>
      </c>
      <c r="O18" s="5"/>
      <c r="P18" s="62">
        <f t="shared" si="4"/>
        <v>30787.21</v>
      </c>
      <c r="Q18" s="63">
        <f t="shared" si="5"/>
        <v>0.52741649395737311</v>
      </c>
      <c r="R18" s="64">
        <f t="shared" si="6"/>
        <v>92059.310000000027</v>
      </c>
      <c r="S18" s="65">
        <f t="shared" si="7"/>
        <v>0.59487258122808195</v>
      </c>
      <c r="T18" s="2"/>
      <c r="U18" s="2"/>
      <c r="V18" s="2"/>
      <c r="W18" s="5"/>
      <c r="X18" s="6"/>
      <c r="Y18" s="66">
        <v>4</v>
      </c>
      <c r="Z18" s="50">
        <f t="shared" si="8"/>
        <v>3525.9140000000007</v>
      </c>
      <c r="AA18" s="51">
        <f t="shared" si="9"/>
        <v>8814.7850000000017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45752</v>
      </c>
      <c r="B19" s="58">
        <f t="shared" si="0"/>
        <v>5</v>
      </c>
      <c r="C19" s="40">
        <f t="shared" si="1"/>
        <v>7</v>
      </c>
      <c r="D19" s="59">
        <v>52516.47</v>
      </c>
      <c r="E19" s="42">
        <f t="shared" si="12"/>
        <v>207271.14</v>
      </c>
      <c r="F19" s="60">
        <v>52</v>
      </c>
      <c r="G19" s="61">
        <v>33</v>
      </c>
      <c r="H19" s="26">
        <f t="shared" si="13"/>
        <v>46117</v>
      </c>
      <c r="I19" s="58">
        <f t="shared" si="2"/>
        <v>5</v>
      </c>
      <c r="J19" s="40">
        <f t="shared" si="3"/>
        <v>1</v>
      </c>
      <c r="K19" s="59">
        <v>43510.62</v>
      </c>
      <c r="L19" s="42">
        <f t="shared" si="14"/>
        <v>290324.60000000003</v>
      </c>
      <c r="M19" s="60">
        <v>39</v>
      </c>
      <c r="N19" s="61">
        <v>24</v>
      </c>
      <c r="O19" s="5"/>
      <c r="P19" s="62">
        <f t="shared" si="4"/>
        <v>-9005.8499999999985</v>
      </c>
      <c r="Q19" s="63">
        <f t="shared" si="5"/>
        <v>-0.17148620232852663</v>
      </c>
      <c r="R19" s="64">
        <f t="shared" si="6"/>
        <v>83053.460000000021</v>
      </c>
      <c r="S19" s="65">
        <f t="shared" si="7"/>
        <v>0.40069958605911093</v>
      </c>
      <c r="T19" s="2"/>
      <c r="U19" s="2"/>
      <c r="V19" s="2"/>
      <c r="W19" s="5"/>
      <c r="X19" s="6"/>
      <c r="Y19" s="66">
        <v>5</v>
      </c>
      <c r="Z19" s="50">
        <f t="shared" si="8"/>
        <v>7444.2205128205142</v>
      </c>
      <c r="AA19" s="51">
        <f t="shared" si="9"/>
        <v>12096.858333333335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45753</v>
      </c>
      <c r="B20" s="58">
        <f t="shared" si="0"/>
        <v>6</v>
      </c>
      <c r="C20" s="40">
        <f t="shared" si="1"/>
        <v>1</v>
      </c>
      <c r="D20" s="59">
        <v>38803.82</v>
      </c>
      <c r="E20" s="42">
        <f t="shared" si="12"/>
        <v>246074.96000000002</v>
      </c>
      <c r="F20" s="60">
        <v>38</v>
      </c>
      <c r="G20" s="61">
        <v>31</v>
      </c>
      <c r="H20" s="26">
        <f t="shared" si="13"/>
        <v>46118</v>
      </c>
      <c r="I20" s="58">
        <f t="shared" si="2"/>
        <v>6</v>
      </c>
      <c r="J20" s="40">
        <f t="shared" si="3"/>
        <v>2</v>
      </c>
      <c r="K20" s="59">
        <v>34200.269999999997</v>
      </c>
      <c r="L20" s="42">
        <f t="shared" si="14"/>
        <v>324524.87000000005</v>
      </c>
      <c r="M20" s="60">
        <v>18</v>
      </c>
      <c r="N20" s="61">
        <v>19</v>
      </c>
      <c r="O20" s="5"/>
      <c r="P20" s="62">
        <f t="shared" si="4"/>
        <v>-4603.5500000000029</v>
      </c>
      <c r="Q20" s="63">
        <f t="shared" si="5"/>
        <v>-0.11863651568324984</v>
      </c>
      <c r="R20" s="64">
        <f t="shared" si="6"/>
        <v>78449.910000000033</v>
      </c>
      <c r="S20" s="65">
        <f t="shared" si="7"/>
        <v>0.31880492838442409</v>
      </c>
      <c r="T20" s="2"/>
      <c r="U20" s="2"/>
      <c r="V20" s="2"/>
      <c r="W20" s="5"/>
      <c r="X20" s="6"/>
      <c r="Y20" s="66">
        <v>6</v>
      </c>
      <c r="Z20" s="50">
        <f t="shared" si="8"/>
        <v>18029.159444444449</v>
      </c>
      <c r="AA20" s="51">
        <f t="shared" si="9"/>
        <v>17080.256315789477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45754</v>
      </c>
      <c r="B21" s="58">
        <f t="shared" si="0"/>
        <v>7</v>
      </c>
      <c r="C21" s="40">
        <f t="shared" si="1"/>
        <v>2</v>
      </c>
      <c r="D21" s="59">
        <v>58392.24</v>
      </c>
      <c r="E21" s="42">
        <f t="shared" si="12"/>
        <v>304467.20000000001</v>
      </c>
      <c r="F21" s="60">
        <v>45</v>
      </c>
      <c r="G21" s="61">
        <v>28</v>
      </c>
      <c r="H21" s="26">
        <f t="shared" si="13"/>
        <v>46119</v>
      </c>
      <c r="I21" s="58">
        <f t="shared" si="2"/>
        <v>7</v>
      </c>
      <c r="J21" s="40">
        <f t="shared" si="3"/>
        <v>3</v>
      </c>
      <c r="K21" s="59">
        <v>37131.230000000003</v>
      </c>
      <c r="L21" s="42">
        <f t="shared" si="14"/>
        <v>361656.10000000003</v>
      </c>
      <c r="M21" s="60">
        <v>29</v>
      </c>
      <c r="N21" s="61">
        <v>25</v>
      </c>
      <c r="O21" s="5"/>
      <c r="P21" s="62">
        <f t="shared" si="4"/>
        <v>-21261.009999999995</v>
      </c>
      <c r="Q21" s="63">
        <f t="shared" si="5"/>
        <v>-0.3641067717217219</v>
      </c>
      <c r="R21" s="64">
        <f t="shared" si="6"/>
        <v>57188.900000000023</v>
      </c>
      <c r="S21" s="65">
        <f t="shared" si="7"/>
        <v>0.18783271235785004</v>
      </c>
      <c r="T21" s="2"/>
      <c r="U21" s="2"/>
      <c r="V21" s="2"/>
      <c r="W21" s="5"/>
      <c r="X21" s="6"/>
      <c r="Y21" s="66">
        <v>7</v>
      </c>
      <c r="Z21" s="50">
        <f t="shared" si="8"/>
        <v>12470.900000000001</v>
      </c>
      <c r="AA21" s="51">
        <f t="shared" si="9"/>
        <v>14466.244000000001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45755</v>
      </c>
      <c r="B22" s="58">
        <f t="shared" si="0"/>
        <v>8</v>
      </c>
      <c r="C22" s="40">
        <f t="shared" si="1"/>
        <v>3</v>
      </c>
      <c r="D22" s="59">
        <v>29894.400000000001</v>
      </c>
      <c r="E22" s="42">
        <f t="shared" si="12"/>
        <v>334361.60000000003</v>
      </c>
      <c r="F22" s="60">
        <v>24</v>
      </c>
      <c r="G22" s="61">
        <v>16</v>
      </c>
      <c r="H22" s="26">
        <f t="shared" si="13"/>
        <v>46120</v>
      </c>
      <c r="I22" s="58">
        <f t="shared" si="2"/>
        <v>8</v>
      </c>
      <c r="J22" s="40">
        <f t="shared" si="3"/>
        <v>4</v>
      </c>
      <c r="K22" s="59">
        <v>31470.68</v>
      </c>
      <c r="L22" s="42">
        <f t="shared" si="14"/>
        <v>393126.78</v>
      </c>
      <c r="M22" s="60">
        <v>24</v>
      </c>
      <c r="N22" s="61">
        <v>20</v>
      </c>
      <c r="O22" s="5"/>
      <c r="P22" s="62">
        <f t="shared" si="4"/>
        <v>1576.2799999999988</v>
      </c>
      <c r="Q22" s="63">
        <f t="shared" si="5"/>
        <v>5.2728270177692105E-2</v>
      </c>
      <c r="R22" s="64">
        <f t="shared" si="6"/>
        <v>58765.179999999993</v>
      </c>
      <c r="S22" s="65">
        <f t="shared" si="7"/>
        <v>0.17575337598575902</v>
      </c>
      <c r="T22" s="2"/>
      <c r="U22" s="2"/>
      <c r="V22" s="2"/>
      <c r="W22" s="5"/>
      <c r="X22" s="6"/>
      <c r="Y22" s="66">
        <v>8</v>
      </c>
      <c r="Z22" s="50">
        <f t="shared" si="8"/>
        <v>16380.282500000001</v>
      </c>
      <c r="AA22" s="51">
        <f t="shared" si="9"/>
        <v>19656.339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45756</v>
      </c>
      <c r="B23" s="58">
        <f t="shared" si="0"/>
        <v>9</v>
      </c>
      <c r="C23" s="40">
        <f t="shared" si="1"/>
        <v>4</v>
      </c>
      <c r="D23" s="59">
        <v>28609.32</v>
      </c>
      <c r="E23" s="42">
        <f t="shared" si="12"/>
        <v>362970.92000000004</v>
      </c>
      <c r="F23" s="60">
        <v>24</v>
      </c>
      <c r="G23" s="61">
        <v>16</v>
      </c>
      <c r="H23" s="26">
        <f t="shared" si="13"/>
        <v>46121</v>
      </c>
      <c r="I23" s="58">
        <f t="shared" si="2"/>
        <v>9</v>
      </c>
      <c r="J23" s="40">
        <f t="shared" si="3"/>
        <v>5</v>
      </c>
      <c r="K23" s="59">
        <v>23228.46</v>
      </c>
      <c r="L23" s="42">
        <f t="shared" si="14"/>
        <v>416355.24000000005</v>
      </c>
      <c r="M23" s="60">
        <v>15</v>
      </c>
      <c r="N23" s="61">
        <v>14</v>
      </c>
      <c r="O23" s="5"/>
      <c r="P23" s="62">
        <f t="shared" si="4"/>
        <v>-5380.8600000000006</v>
      </c>
      <c r="Q23" s="63">
        <f t="shared" si="5"/>
        <v>-0.18808066741886909</v>
      </c>
      <c r="R23" s="64">
        <f t="shared" si="6"/>
        <v>53384.320000000007</v>
      </c>
      <c r="S23" s="65">
        <f t="shared" si="7"/>
        <v>0.1470760247129439</v>
      </c>
      <c r="T23" s="2"/>
      <c r="U23" s="2"/>
      <c r="V23" s="2"/>
      <c r="W23" s="5"/>
      <c r="X23" s="6"/>
      <c r="Y23" s="66">
        <v>9</v>
      </c>
      <c r="Z23" s="50">
        <f t="shared" si="8"/>
        <v>27757.016000000003</v>
      </c>
      <c r="AA23" s="51">
        <f t="shared" si="9"/>
        <v>29739.660000000003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45757</v>
      </c>
      <c r="B24" s="58">
        <f t="shared" si="0"/>
        <v>10</v>
      </c>
      <c r="C24" s="40">
        <f t="shared" si="1"/>
        <v>5</v>
      </c>
      <c r="D24" s="59">
        <v>28688.54</v>
      </c>
      <c r="E24" s="42">
        <f t="shared" si="12"/>
        <v>391659.46</v>
      </c>
      <c r="F24" s="60">
        <v>32</v>
      </c>
      <c r="G24" s="61">
        <v>21</v>
      </c>
      <c r="H24" s="26">
        <f t="shared" si="13"/>
        <v>46122</v>
      </c>
      <c r="I24" s="58">
        <f t="shared" si="2"/>
        <v>10</v>
      </c>
      <c r="J24" s="40">
        <f t="shared" si="3"/>
        <v>6</v>
      </c>
      <c r="K24" s="59">
        <v>33190.550000000003</v>
      </c>
      <c r="L24" s="42">
        <f t="shared" si="14"/>
        <v>449545.79000000004</v>
      </c>
      <c r="M24" s="60">
        <v>39</v>
      </c>
      <c r="N24" s="61">
        <v>20</v>
      </c>
      <c r="O24" s="5"/>
      <c r="P24" s="62">
        <f t="shared" si="4"/>
        <v>4502.010000000002</v>
      </c>
      <c r="Q24" s="63">
        <f t="shared" si="5"/>
        <v>0.15692712142200338</v>
      </c>
      <c r="R24" s="64">
        <f t="shared" si="6"/>
        <v>57886.330000000016</v>
      </c>
      <c r="S24" s="65">
        <f t="shared" si="7"/>
        <v>0.14779760458230728</v>
      </c>
      <c r="T24" s="2"/>
      <c r="U24" s="2"/>
      <c r="V24" s="2"/>
      <c r="W24" s="5"/>
      <c r="X24" s="6"/>
      <c r="Y24" s="66">
        <v>10</v>
      </c>
      <c r="Z24" s="50">
        <f t="shared" si="8"/>
        <v>11526.815128205129</v>
      </c>
      <c r="AA24" s="51">
        <f t="shared" si="9"/>
        <v>22477.289500000003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45758</v>
      </c>
      <c r="B25" s="58">
        <f t="shared" si="0"/>
        <v>11</v>
      </c>
      <c r="C25" s="40">
        <f t="shared" si="1"/>
        <v>6</v>
      </c>
      <c r="D25" s="59">
        <v>38972.931034482761</v>
      </c>
      <c r="E25" s="42">
        <f t="shared" si="12"/>
        <v>430632.3910344828</v>
      </c>
      <c r="F25" s="60">
        <v>33</v>
      </c>
      <c r="G25" s="61">
        <v>22</v>
      </c>
      <c r="H25" s="26">
        <f t="shared" si="13"/>
        <v>46123</v>
      </c>
      <c r="I25" s="58">
        <f t="shared" si="2"/>
        <v>11</v>
      </c>
      <c r="J25" s="40">
        <f t="shared" si="3"/>
        <v>7</v>
      </c>
      <c r="K25" s="59">
        <v>29799.14</v>
      </c>
      <c r="L25" s="42">
        <f t="shared" si="14"/>
        <v>479344.93000000005</v>
      </c>
      <c r="M25" s="60">
        <v>23</v>
      </c>
      <c r="N25" s="61">
        <v>23</v>
      </c>
      <c r="O25" s="5"/>
      <c r="P25" s="62">
        <f t="shared" si="4"/>
        <v>-9173.7910344827615</v>
      </c>
      <c r="Q25" s="63">
        <f t="shared" si="5"/>
        <v>-0.23538878885875703</v>
      </c>
      <c r="R25" s="64">
        <f t="shared" si="6"/>
        <v>48712.538965517248</v>
      </c>
      <c r="S25" s="65">
        <f t="shared" si="7"/>
        <v>0.11311861341525664</v>
      </c>
      <c r="T25" s="2"/>
      <c r="U25" s="2"/>
      <c r="V25" s="2"/>
      <c r="W25" s="5"/>
      <c r="X25" s="6"/>
      <c r="Y25" s="66">
        <v>11</v>
      </c>
      <c r="Z25" s="50">
        <f t="shared" si="8"/>
        <v>20841.08391304348</v>
      </c>
      <c r="AA25" s="51">
        <f t="shared" si="9"/>
        <v>20841.08391304348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45759</v>
      </c>
      <c r="B26" s="58">
        <f t="shared" si="0"/>
        <v>12</v>
      </c>
      <c r="C26" s="40">
        <f t="shared" si="1"/>
        <v>7</v>
      </c>
      <c r="D26" s="59">
        <v>44732.629310344826</v>
      </c>
      <c r="E26" s="42">
        <f t="shared" si="12"/>
        <v>475365.02034482762</v>
      </c>
      <c r="F26" s="60">
        <v>50</v>
      </c>
      <c r="G26" s="61">
        <v>26</v>
      </c>
      <c r="H26" s="26">
        <f t="shared" si="13"/>
        <v>46124</v>
      </c>
      <c r="I26" s="58">
        <f t="shared" si="2"/>
        <v>12</v>
      </c>
      <c r="J26" s="40">
        <f t="shared" si="3"/>
        <v>1</v>
      </c>
      <c r="K26" s="59">
        <v>35335.360000000001</v>
      </c>
      <c r="L26" s="42">
        <f t="shared" si="14"/>
        <v>514680.29000000004</v>
      </c>
      <c r="M26" s="60">
        <v>32</v>
      </c>
      <c r="N26" s="61">
        <v>22</v>
      </c>
      <c r="O26" s="5"/>
      <c r="P26" s="62">
        <f t="shared" si="4"/>
        <v>-9397.2693103448255</v>
      </c>
      <c r="Q26" s="63">
        <f t="shared" si="5"/>
        <v>-0.2100763906621429</v>
      </c>
      <c r="R26" s="64">
        <f t="shared" si="6"/>
        <v>39315.269655172422</v>
      </c>
      <c r="S26" s="65">
        <f t="shared" si="7"/>
        <v>8.2705432609772922E-2</v>
      </c>
      <c r="T26" s="2"/>
      <c r="U26" s="2"/>
      <c r="V26" s="2"/>
      <c r="W26" s="5"/>
      <c r="X26" s="6"/>
      <c r="Y26" s="66">
        <v>12</v>
      </c>
      <c r="Z26" s="50">
        <f t="shared" si="8"/>
        <v>16083.759062500001</v>
      </c>
      <c r="AA26" s="51">
        <f t="shared" si="9"/>
        <v>23394.558636363639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45760</v>
      </c>
      <c r="B27" s="58">
        <f t="shared" si="0"/>
        <v>13</v>
      </c>
      <c r="C27" s="40">
        <f t="shared" si="1"/>
        <v>1</v>
      </c>
      <c r="D27" s="59">
        <v>33763.919999999998</v>
      </c>
      <c r="E27" s="42">
        <f t="shared" si="12"/>
        <v>509128.9403448276</v>
      </c>
      <c r="F27" s="60">
        <v>40</v>
      </c>
      <c r="G27" s="61">
        <v>30</v>
      </c>
      <c r="H27" s="26">
        <f t="shared" si="13"/>
        <v>46125</v>
      </c>
      <c r="I27" s="58">
        <f t="shared" si="2"/>
        <v>13</v>
      </c>
      <c r="J27" s="40">
        <f t="shared" si="3"/>
        <v>2</v>
      </c>
      <c r="K27" s="59">
        <v>30994.58</v>
      </c>
      <c r="L27" s="42">
        <f t="shared" si="14"/>
        <v>545674.87</v>
      </c>
      <c r="M27" s="60">
        <v>22</v>
      </c>
      <c r="N27" s="61">
        <v>17</v>
      </c>
      <c r="O27" s="5"/>
      <c r="P27" s="62">
        <f t="shared" si="4"/>
        <v>-2769.3399999999965</v>
      </c>
      <c r="Q27" s="63">
        <f t="shared" si="5"/>
        <v>-8.2020689540787783E-2</v>
      </c>
      <c r="R27" s="64">
        <f t="shared" si="6"/>
        <v>36545.929655172396</v>
      </c>
      <c r="S27" s="65">
        <f t="shared" si="7"/>
        <v>7.1781285169961517E-2</v>
      </c>
      <c r="T27" s="2"/>
      <c r="U27" s="2"/>
      <c r="V27" s="2"/>
      <c r="W27" s="5"/>
      <c r="X27" s="6"/>
      <c r="Y27" s="66">
        <v>13</v>
      </c>
      <c r="Z27" s="50">
        <f t="shared" si="8"/>
        <v>24803.403181818183</v>
      </c>
      <c r="AA27" s="51">
        <f t="shared" si="9"/>
        <v>32098.521764705882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45761</v>
      </c>
      <c r="B28" s="58">
        <f t="shared" si="0"/>
        <v>14</v>
      </c>
      <c r="C28" s="40">
        <f t="shared" si="1"/>
        <v>2</v>
      </c>
      <c r="D28" s="59">
        <v>69452.155172413797</v>
      </c>
      <c r="E28" s="42">
        <f t="shared" si="12"/>
        <v>578581.0955172414</v>
      </c>
      <c r="F28" s="60">
        <v>70</v>
      </c>
      <c r="G28" s="61">
        <v>39</v>
      </c>
      <c r="H28" s="26">
        <f t="shared" si="13"/>
        <v>46126</v>
      </c>
      <c r="I28" s="58">
        <f t="shared" si="2"/>
        <v>14</v>
      </c>
      <c r="J28" s="40">
        <f t="shared" si="3"/>
        <v>3</v>
      </c>
      <c r="K28" s="59">
        <v>19567.25</v>
      </c>
      <c r="L28" s="42">
        <f t="shared" si="14"/>
        <v>565242.12</v>
      </c>
      <c r="M28" s="60">
        <v>12</v>
      </c>
      <c r="N28" s="61">
        <v>10</v>
      </c>
      <c r="O28" s="5"/>
      <c r="P28" s="62">
        <f t="shared" si="4"/>
        <v>-49884.905172413797</v>
      </c>
      <c r="Q28" s="63">
        <f t="shared" si="5"/>
        <v>-0.71826288253511161</v>
      </c>
      <c r="R28" s="64">
        <f t="shared" si="6"/>
        <v>-13338.975517241401</v>
      </c>
      <c r="S28" s="65">
        <f t="shared" si="7"/>
        <v>-2.3054634208738878E-2</v>
      </c>
      <c r="T28" s="2"/>
      <c r="U28" s="2"/>
      <c r="V28" s="2"/>
      <c r="W28" s="5"/>
      <c r="X28" s="6"/>
      <c r="Y28" s="66">
        <v>14</v>
      </c>
      <c r="Z28" s="50">
        <f t="shared" si="8"/>
        <v>47103.51</v>
      </c>
      <c r="AA28" s="51">
        <f t="shared" si="9"/>
        <v>56524.212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45762</v>
      </c>
      <c r="B29" s="58">
        <f t="shared" si="0"/>
        <v>15</v>
      </c>
      <c r="C29" s="40">
        <f t="shared" si="1"/>
        <v>3</v>
      </c>
      <c r="D29" s="59">
        <v>26651.034482758623</v>
      </c>
      <c r="E29" s="42">
        <f t="shared" si="12"/>
        <v>605232.13</v>
      </c>
      <c r="F29" s="60">
        <v>26</v>
      </c>
      <c r="G29" s="61">
        <v>12</v>
      </c>
      <c r="H29" s="26">
        <f t="shared" si="13"/>
        <v>46127</v>
      </c>
      <c r="I29" s="58">
        <f t="shared" si="2"/>
        <v>15</v>
      </c>
      <c r="J29" s="40">
        <f t="shared" si="3"/>
        <v>4</v>
      </c>
      <c r="K29" s="59">
        <v>40480.720000000001</v>
      </c>
      <c r="L29" s="42">
        <f t="shared" si="14"/>
        <v>605722.84</v>
      </c>
      <c r="M29" s="60">
        <v>29</v>
      </c>
      <c r="N29" s="61">
        <v>22</v>
      </c>
      <c r="O29" s="5"/>
      <c r="P29" s="62">
        <f t="shared" si="4"/>
        <v>13829.685517241378</v>
      </c>
      <c r="Q29" s="63">
        <f t="shared" si="5"/>
        <v>0.51891739985508734</v>
      </c>
      <c r="R29" s="64">
        <f t="shared" si="6"/>
        <v>490.70999999996275</v>
      </c>
      <c r="S29" s="65">
        <f t="shared" si="7"/>
        <v>8.1077982426336348E-4</v>
      </c>
      <c r="T29" s="2"/>
      <c r="U29" s="2"/>
      <c r="V29" s="2"/>
      <c r="W29" s="5"/>
      <c r="X29" s="6"/>
      <c r="Y29" s="66">
        <v>15</v>
      </c>
      <c r="Z29" s="50">
        <f t="shared" si="8"/>
        <v>20886.994482758619</v>
      </c>
      <c r="AA29" s="51">
        <f t="shared" si="9"/>
        <v>27532.856363636361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45763</v>
      </c>
      <c r="B30" s="58">
        <f t="shared" si="0"/>
        <v>16</v>
      </c>
      <c r="C30" s="40">
        <f t="shared" si="1"/>
        <v>4</v>
      </c>
      <c r="D30" s="59">
        <v>29712.33</v>
      </c>
      <c r="E30" s="42">
        <f t="shared" si="12"/>
        <v>634944.46</v>
      </c>
      <c r="F30" s="60">
        <v>28</v>
      </c>
      <c r="G30" s="61">
        <v>16</v>
      </c>
      <c r="H30" s="26">
        <f t="shared" si="13"/>
        <v>46128</v>
      </c>
      <c r="I30" s="58">
        <f t="shared" si="2"/>
        <v>16</v>
      </c>
      <c r="J30" s="40">
        <f t="shared" si="3"/>
        <v>5</v>
      </c>
      <c r="K30" s="59">
        <v>11362.35</v>
      </c>
      <c r="L30" s="42">
        <f t="shared" si="14"/>
        <v>617085.18999999994</v>
      </c>
      <c r="M30" s="60">
        <v>12</v>
      </c>
      <c r="N30" s="61">
        <v>11</v>
      </c>
      <c r="O30" s="5"/>
      <c r="P30" s="62">
        <f t="shared" si="4"/>
        <v>-18349.980000000003</v>
      </c>
      <c r="Q30" s="63">
        <f t="shared" si="5"/>
        <v>-0.61758805182898824</v>
      </c>
      <c r="R30" s="64">
        <f t="shared" si="6"/>
        <v>-17859.270000000019</v>
      </c>
      <c r="S30" s="65">
        <f t="shared" si="7"/>
        <v>-2.8127294787326784E-2</v>
      </c>
      <c r="T30" s="2"/>
      <c r="U30" s="2"/>
      <c r="V30" s="2"/>
      <c r="W30" s="5"/>
      <c r="X30" s="6"/>
      <c r="Y30" s="66">
        <v>16</v>
      </c>
      <c r="Z30" s="50">
        <f t="shared" si="8"/>
        <v>51423.765833333331</v>
      </c>
      <c r="AA30" s="51">
        <f t="shared" si="9"/>
        <v>56098.653636363633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45764</v>
      </c>
      <c r="B31" s="58">
        <f t="shared" si="0"/>
        <v>17</v>
      </c>
      <c r="C31" s="40">
        <f t="shared" si="1"/>
        <v>5</v>
      </c>
      <c r="D31" s="59">
        <v>20088.879310344826</v>
      </c>
      <c r="E31" s="42">
        <f t="shared" si="12"/>
        <v>655033.33931034477</v>
      </c>
      <c r="F31" s="60">
        <v>27</v>
      </c>
      <c r="G31" s="61">
        <v>15</v>
      </c>
      <c r="H31" s="26">
        <f t="shared" si="13"/>
        <v>46129</v>
      </c>
      <c r="I31" s="58">
        <f t="shared" si="2"/>
        <v>17</v>
      </c>
      <c r="J31" s="40">
        <f t="shared" si="3"/>
        <v>6</v>
      </c>
      <c r="K31" s="59">
        <v>25845.09</v>
      </c>
      <c r="L31" s="42">
        <f t="shared" si="14"/>
        <v>642930.27999999991</v>
      </c>
      <c r="M31" s="60">
        <v>20</v>
      </c>
      <c r="N31" s="61">
        <v>20</v>
      </c>
      <c r="O31" s="5"/>
      <c r="P31" s="62">
        <f t="shared" si="4"/>
        <v>5756.2106896551741</v>
      </c>
      <c r="Q31" s="63">
        <f t="shared" si="5"/>
        <v>0.28653717316580218</v>
      </c>
      <c r="R31" s="64">
        <f t="shared" si="6"/>
        <v>-12103.059310344863</v>
      </c>
      <c r="S31" s="65">
        <f t="shared" si="7"/>
        <v>-1.8477012670969795E-2</v>
      </c>
      <c r="T31" s="2"/>
      <c r="U31" s="2"/>
      <c r="V31" s="2"/>
      <c r="W31" s="5"/>
      <c r="X31" s="6"/>
      <c r="Y31" s="66">
        <v>17</v>
      </c>
      <c r="Z31" s="50">
        <f t="shared" si="8"/>
        <v>32146.513999999996</v>
      </c>
      <c r="AA31" s="51">
        <f t="shared" si="9"/>
        <v>32146.513999999996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45765</v>
      </c>
      <c r="B32" s="58">
        <f t="shared" si="0"/>
        <v>18</v>
      </c>
      <c r="C32" s="40">
        <f t="shared" si="1"/>
        <v>6</v>
      </c>
      <c r="D32" s="59">
        <v>53098.10344827587</v>
      </c>
      <c r="E32" s="42">
        <f t="shared" si="12"/>
        <v>708131.4427586206</v>
      </c>
      <c r="F32" s="60">
        <v>49</v>
      </c>
      <c r="G32" s="61">
        <v>26</v>
      </c>
      <c r="H32" s="26">
        <f t="shared" si="13"/>
        <v>46130</v>
      </c>
      <c r="I32" s="58">
        <f t="shared" si="2"/>
        <v>18</v>
      </c>
      <c r="J32" s="40">
        <f t="shared" si="3"/>
        <v>7</v>
      </c>
      <c r="K32" s="59">
        <v>56667.61</v>
      </c>
      <c r="L32" s="42">
        <f t="shared" si="14"/>
        <v>699597.8899999999</v>
      </c>
      <c r="M32" s="60">
        <v>46</v>
      </c>
      <c r="N32" s="61">
        <v>32</v>
      </c>
      <c r="O32" s="5"/>
      <c r="P32" s="62">
        <f t="shared" si="4"/>
        <v>3569.506551724131</v>
      </c>
      <c r="Q32" s="63">
        <f t="shared" si="5"/>
        <v>6.7224746646577849E-2</v>
      </c>
      <c r="R32" s="64">
        <f t="shared" si="6"/>
        <v>-8533.5527586207027</v>
      </c>
      <c r="S32" s="65">
        <f t="shared" si="7"/>
        <v>-1.2050803344329841E-2</v>
      </c>
      <c r="T32" s="2"/>
      <c r="U32" s="2"/>
      <c r="V32" s="2"/>
      <c r="W32" s="5"/>
      <c r="X32" s="6"/>
      <c r="Y32" s="66">
        <v>18</v>
      </c>
      <c r="Z32" s="50">
        <f t="shared" si="8"/>
        <v>15208.649782608694</v>
      </c>
      <c r="AA32" s="51">
        <f t="shared" si="9"/>
        <v>21862.434062499997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45766</v>
      </c>
      <c r="B33" s="58">
        <f t="shared" si="0"/>
        <v>19</v>
      </c>
      <c r="C33" s="40">
        <f t="shared" si="1"/>
        <v>7</v>
      </c>
      <c r="D33" s="59">
        <v>47769.655172413797</v>
      </c>
      <c r="E33" s="42">
        <f t="shared" si="12"/>
        <v>755901.0979310344</v>
      </c>
      <c r="F33" s="60">
        <v>48</v>
      </c>
      <c r="G33" s="61">
        <v>27</v>
      </c>
      <c r="H33" s="26">
        <f t="shared" si="13"/>
        <v>46131</v>
      </c>
      <c r="I33" s="58">
        <f t="shared" si="2"/>
        <v>19</v>
      </c>
      <c r="J33" s="40">
        <f t="shared" si="3"/>
        <v>1</v>
      </c>
      <c r="K33" s="59">
        <v>41970.51</v>
      </c>
      <c r="L33" s="42">
        <f t="shared" si="14"/>
        <v>741568.39999999991</v>
      </c>
      <c r="M33" s="60">
        <v>36</v>
      </c>
      <c r="N33" s="61">
        <v>22</v>
      </c>
      <c r="O33" s="5"/>
      <c r="P33" s="62">
        <f t="shared" si="4"/>
        <v>-5799.1451724137951</v>
      </c>
      <c r="Q33" s="63">
        <f t="shared" si="5"/>
        <v>-0.12139809574683114</v>
      </c>
      <c r="R33" s="64">
        <f t="shared" si="6"/>
        <v>-14332.69793103449</v>
      </c>
      <c r="S33" s="65">
        <f t="shared" si="7"/>
        <v>-1.8961075688690321E-2</v>
      </c>
      <c r="T33" s="2"/>
      <c r="U33" s="2"/>
      <c r="V33" s="2"/>
      <c r="W33" s="5"/>
      <c r="X33" s="6"/>
      <c r="Y33" s="66">
        <v>19</v>
      </c>
      <c r="Z33" s="50">
        <f t="shared" si="8"/>
        <v>20599.12222222222</v>
      </c>
      <c r="AA33" s="51">
        <f t="shared" si="9"/>
        <v>33707.654545454541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45767</v>
      </c>
      <c r="B34" s="58">
        <f t="shared" si="0"/>
        <v>20</v>
      </c>
      <c r="C34" s="40">
        <f t="shared" si="1"/>
        <v>1</v>
      </c>
      <c r="D34" s="59">
        <v>51878.21</v>
      </c>
      <c r="E34" s="42">
        <f t="shared" si="12"/>
        <v>807779.30793103436</v>
      </c>
      <c r="F34" s="60">
        <v>53</v>
      </c>
      <c r="G34" s="61">
        <v>35</v>
      </c>
      <c r="H34" s="26">
        <f t="shared" si="13"/>
        <v>46132</v>
      </c>
      <c r="I34" s="58">
        <f t="shared" si="2"/>
        <v>20</v>
      </c>
      <c r="J34" s="40">
        <f t="shared" si="3"/>
        <v>2</v>
      </c>
      <c r="K34" s="59">
        <v>24398.53</v>
      </c>
      <c r="L34" s="42">
        <f t="shared" si="14"/>
        <v>765966.92999999993</v>
      </c>
      <c r="M34" s="60">
        <v>24</v>
      </c>
      <c r="N34" s="61">
        <v>14</v>
      </c>
      <c r="O34" s="5"/>
      <c r="P34" s="62">
        <f t="shared" si="4"/>
        <v>-27479.68</v>
      </c>
      <c r="Q34" s="63">
        <f t="shared" si="5"/>
        <v>-0.52969599375151921</v>
      </c>
      <c r="R34" s="64">
        <f t="shared" si="6"/>
        <v>-41812.377931034425</v>
      </c>
      <c r="S34" s="65">
        <f t="shared" si="7"/>
        <v>-5.1762130473641976E-2</v>
      </c>
      <c r="T34" s="2"/>
      <c r="U34" s="2"/>
      <c r="V34" s="2"/>
      <c r="W34" s="5"/>
      <c r="X34" s="6"/>
      <c r="Y34" s="66">
        <v>20</v>
      </c>
      <c r="Z34" s="50">
        <f t="shared" si="8"/>
        <v>31915.288749999996</v>
      </c>
      <c r="AA34" s="51">
        <f t="shared" si="9"/>
        <v>54711.923571428568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45768</v>
      </c>
      <c r="B35" s="58">
        <f t="shared" si="0"/>
        <v>21</v>
      </c>
      <c r="C35" s="40">
        <f t="shared" si="1"/>
        <v>2</v>
      </c>
      <c r="D35" s="59">
        <v>47810.69</v>
      </c>
      <c r="E35" s="42">
        <f t="shared" si="12"/>
        <v>855589.9979310343</v>
      </c>
      <c r="F35" s="60">
        <v>34</v>
      </c>
      <c r="G35" s="61">
        <v>26</v>
      </c>
      <c r="H35" s="26">
        <f t="shared" si="13"/>
        <v>46133</v>
      </c>
      <c r="I35" s="58">
        <f t="shared" si="2"/>
        <v>21</v>
      </c>
      <c r="J35" s="40">
        <f t="shared" si="3"/>
        <v>3</v>
      </c>
      <c r="K35" s="59">
        <v>21751.21</v>
      </c>
      <c r="L35" s="42">
        <f t="shared" si="14"/>
        <v>787718.1399999999</v>
      </c>
      <c r="M35" s="60">
        <v>19</v>
      </c>
      <c r="N35" s="61">
        <v>15</v>
      </c>
      <c r="O35" s="5"/>
      <c r="P35" s="62">
        <f t="shared" si="4"/>
        <v>-26059.480000000003</v>
      </c>
      <c r="Q35" s="63">
        <f t="shared" si="5"/>
        <v>-0.54505550955236171</v>
      </c>
      <c r="R35" s="64">
        <f t="shared" si="6"/>
        <v>-67871.857931034407</v>
      </c>
      <c r="S35" s="65">
        <f t="shared" si="7"/>
        <v>-7.9327549521570395E-2</v>
      </c>
      <c r="T35" s="2"/>
      <c r="U35" s="2"/>
      <c r="V35" s="2"/>
      <c r="W35" s="5"/>
      <c r="X35" s="6"/>
      <c r="Y35" s="66">
        <v>21</v>
      </c>
      <c r="Z35" s="50">
        <f t="shared" si="8"/>
        <v>41458.849473684204</v>
      </c>
      <c r="AA35" s="51">
        <f t="shared" si="9"/>
        <v>52514.542666666661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45769</v>
      </c>
      <c r="B36" s="58">
        <f t="shared" si="0"/>
        <v>22</v>
      </c>
      <c r="C36" s="40">
        <f t="shared" si="1"/>
        <v>3</v>
      </c>
      <c r="D36" s="59">
        <v>23245.086206896554</v>
      </c>
      <c r="E36" s="42">
        <f t="shared" si="12"/>
        <v>878835.08413793088</v>
      </c>
      <c r="F36" s="60">
        <v>32</v>
      </c>
      <c r="G36" s="61">
        <v>21</v>
      </c>
      <c r="H36" s="26">
        <f t="shared" si="13"/>
        <v>46134</v>
      </c>
      <c r="I36" s="58">
        <f t="shared" si="2"/>
        <v>22</v>
      </c>
      <c r="J36" s="40">
        <f t="shared" si="3"/>
        <v>4</v>
      </c>
      <c r="K36" s="59">
        <v>23335.63</v>
      </c>
      <c r="L36" s="42">
        <f t="shared" si="14"/>
        <v>811053.7699999999</v>
      </c>
      <c r="M36" s="60">
        <v>21</v>
      </c>
      <c r="N36" s="61">
        <v>14</v>
      </c>
      <c r="O36" s="5"/>
      <c r="P36" s="62">
        <f t="shared" si="4"/>
        <v>90.54379310344666</v>
      </c>
      <c r="Q36" s="63">
        <f t="shared" si="5"/>
        <v>3.8951799230835249E-3</v>
      </c>
      <c r="R36" s="64">
        <f t="shared" si="6"/>
        <v>-67781.314137930982</v>
      </c>
      <c r="S36" s="65">
        <f t="shared" si="7"/>
        <v>-7.7126317964899216E-2</v>
      </c>
      <c r="T36" s="2"/>
      <c r="U36" s="2"/>
      <c r="V36" s="2"/>
      <c r="W36" s="5"/>
      <c r="X36" s="6"/>
      <c r="Y36" s="66">
        <v>22</v>
      </c>
      <c r="Z36" s="50">
        <f t="shared" si="8"/>
        <v>38621.608095238087</v>
      </c>
      <c r="AA36" s="51">
        <f t="shared" si="9"/>
        <v>57932.412142857138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45770</v>
      </c>
      <c r="B37" s="58">
        <f t="shared" si="0"/>
        <v>23</v>
      </c>
      <c r="C37" s="40">
        <f t="shared" si="1"/>
        <v>4</v>
      </c>
      <c r="D37" s="59">
        <v>39553.22</v>
      </c>
      <c r="E37" s="42">
        <f t="shared" si="12"/>
        <v>918388.30413793086</v>
      </c>
      <c r="F37" s="60">
        <v>39</v>
      </c>
      <c r="G37" s="61">
        <v>23</v>
      </c>
      <c r="H37" s="26">
        <f t="shared" si="13"/>
        <v>46135</v>
      </c>
      <c r="I37" s="58">
        <f t="shared" si="2"/>
        <v>23</v>
      </c>
      <c r="J37" s="40">
        <f t="shared" si="3"/>
        <v>5</v>
      </c>
      <c r="K37" s="59">
        <v>28927.7</v>
      </c>
      <c r="L37" s="42">
        <f t="shared" si="14"/>
        <v>839981.46999999986</v>
      </c>
      <c r="M37" s="60">
        <v>19</v>
      </c>
      <c r="N37" s="61">
        <v>17</v>
      </c>
      <c r="O37" s="5"/>
      <c r="P37" s="62">
        <f t="shared" si="4"/>
        <v>-10625.52</v>
      </c>
      <c r="Q37" s="63">
        <f t="shared" si="5"/>
        <v>-0.26863855837780082</v>
      </c>
      <c r="R37" s="64">
        <f t="shared" si="6"/>
        <v>-78406.834137931</v>
      </c>
      <c r="S37" s="65">
        <f t="shared" si="7"/>
        <v>-8.5374382257110359E-2</v>
      </c>
      <c r="T37" s="2"/>
      <c r="U37" s="2"/>
      <c r="V37" s="2"/>
      <c r="W37" s="5"/>
      <c r="X37" s="6"/>
      <c r="Y37" s="66">
        <v>23</v>
      </c>
      <c r="Z37" s="50">
        <f t="shared" si="8"/>
        <v>44209.55105263157</v>
      </c>
      <c r="AA37" s="51">
        <f t="shared" si="9"/>
        <v>49410.674705882346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45771</v>
      </c>
      <c r="B38" s="58">
        <f t="shared" si="0"/>
        <v>24</v>
      </c>
      <c r="C38" s="40">
        <f t="shared" si="1"/>
        <v>5</v>
      </c>
      <c r="D38" s="59">
        <v>20295.818965517243</v>
      </c>
      <c r="E38" s="42">
        <f t="shared" si="12"/>
        <v>938684.12310344807</v>
      </c>
      <c r="F38" s="60">
        <v>21</v>
      </c>
      <c r="G38" s="61">
        <v>17</v>
      </c>
      <c r="H38" s="26">
        <f t="shared" si="13"/>
        <v>46136</v>
      </c>
      <c r="I38" s="58">
        <f t="shared" si="2"/>
        <v>24</v>
      </c>
      <c r="J38" s="40">
        <f t="shared" si="3"/>
        <v>6</v>
      </c>
      <c r="K38" s="59">
        <v>18502.810000000001</v>
      </c>
      <c r="L38" s="42">
        <f t="shared" si="14"/>
        <v>858484.27999999991</v>
      </c>
      <c r="M38" s="60">
        <v>19</v>
      </c>
      <c r="N38" s="61">
        <v>13</v>
      </c>
      <c r="O38" s="5"/>
      <c r="P38" s="62">
        <f t="shared" si="4"/>
        <v>-1793.0089655172414</v>
      </c>
      <c r="Q38" s="63">
        <f t="shared" si="5"/>
        <v>-8.8343760286962447E-2</v>
      </c>
      <c r="R38" s="64">
        <f t="shared" si="6"/>
        <v>-80199.843103448162</v>
      </c>
      <c r="S38" s="65">
        <f t="shared" si="7"/>
        <v>-8.5438584854608979E-2</v>
      </c>
      <c r="T38" s="2"/>
      <c r="U38" s="2"/>
      <c r="V38" s="2"/>
      <c r="W38" s="5"/>
      <c r="X38" s="6"/>
      <c r="Y38" s="66">
        <v>24</v>
      </c>
      <c r="Z38" s="50">
        <f t="shared" si="8"/>
        <v>45183.383157894736</v>
      </c>
      <c r="AA38" s="51">
        <f t="shared" si="9"/>
        <v>66037.252307692295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45772</v>
      </c>
      <c r="B39" s="58">
        <f t="shared" si="0"/>
        <v>25</v>
      </c>
      <c r="C39" s="40">
        <f t="shared" si="1"/>
        <v>6</v>
      </c>
      <c r="D39" s="59">
        <v>16958.71</v>
      </c>
      <c r="E39" s="42">
        <f t="shared" si="12"/>
        <v>955642.83310344804</v>
      </c>
      <c r="F39" s="60">
        <v>14</v>
      </c>
      <c r="G39" s="61">
        <v>8</v>
      </c>
      <c r="H39" s="26">
        <f t="shared" si="13"/>
        <v>46137</v>
      </c>
      <c r="I39" s="58">
        <f t="shared" si="2"/>
        <v>25</v>
      </c>
      <c r="J39" s="40">
        <f t="shared" si="3"/>
        <v>7</v>
      </c>
      <c r="K39" s="59">
        <v>24140.04</v>
      </c>
      <c r="L39" s="42">
        <f t="shared" si="14"/>
        <v>882624.32</v>
      </c>
      <c r="M39" s="60">
        <v>28</v>
      </c>
      <c r="N39" s="61">
        <v>16</v>
      </c>
      <c r="O39" s="5"/>
      <c r="P39" s="62">
        <f t="shared" si="4"/>
        <v>7181.3300000000017</v>
      </c>
      <c r="Q39" s="63">
        <f t="shared" si="5"/>
        <v>0.42345968531804612</v>
      </c>
      <c r="R39" s="64">
        <f t="shared" si="6"/>
        <v>-73018.513103448087</v>
      </c>
      <c r="S39" s="65">
        <f t="shared" si="7"/>
        <v>-7.6407744163497382E-2</v>
      </c>
      <c r="T39" s="2"/>
      <c r="U39" s="2"/>
      <c r="V39" s="2"/>
      <c r="W39" s="5"/>
      <c r="X39" s="6"/>
      <c r="Y39" s="66">
        <v>25</v>
      </c>
      <c r="Z39" s="50">
        <f t="shared" si="8"/>
        <v>31522.29714285714</v>
      </c>
      <c r="AA39" s="51">
        <f t="shared" si="9"/>
        <v>55164.02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45773</v>
      </c>
      <c r="B40" s="58">
        <f t="shared" si="0"/>
        <v>26</v>
      </c>
      <c r="C40" s="40">
        <f t="shared" si="1"/>
        <v>7</v>
      </c>
      <c r="D40" s="59">
        <v>19811.39</v>
      </c>
      <c r="E40" s="42">
        <f t="shared" si="12"/>
        <v>975454.22310344805</v>
      </c>
      <c r="F40" s="60">
        <v>20</v>
      </c>
      <c r="G40" s="61">
        <v>16</v>
      </c>
      <c r="H40" s="26">
        <f t="shared" si="13"/>
        <v>46138</v>
      </c>
      <c r="I40" s="58">
        <f t="shared" si="2"/>
        <v>26</v>
      </c>
      <c r="J40" s="40">
        <f t="shared" si="3"/>
        <v>1</v>
      </c>
      <c r="K40" s="59">
        <v>31173.55</v>
      </c>
      <c r="L40" s="42">
        <f t="shared" si="14"/>
        <v>913797.87</v>
      </c>
      <c r="M40" s="60">
        <v>30</v>
      </c>
      <c r="N40" s="61">
        <v>18</v>
      </c>
      <c r="O40" s="5"/>
      <c r="P40" s="62">
        <f t="shared" si="4"/>
        <v>11362.16</v>
      </c>
      <c r="Q40" s="63">
        <f t="shared" si="5"/>
        <v>0.57351654780406625</v>
      </c>
      <c r="R40" s="64">
        <f t="shared" si="6"/>
        <v>-61656.353103448055</v>
      </c>
      <c r="S40" s="65">
        <f t="shared" si="7"/>
        <v>-6.3207838608034139E-2</v>
      </c>
      <c r="T40" s="2"/>
      <c r="U40" s="2"/>
      <c r="V40" s="2"/>
      <c r="W40" s="5"/>
      <c r="X40" s="6"/>
      <c r="Y40" s="66">
        <v>26</v>
      </c>
      <c r="Z40" s="50">
        <f t="shared" si="8"/>
        <v>30459.929</v>
      </c>
      <c r="AA40" s="51">
        <f t="shared" si="9"/>
        <v>50766.548333333332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45774</v>
      </c>
      <c r="B41" s="58">
        <f t="shared" si="0"/>
        <v>27</v>
      </c>
      <c r="C41" s="40">
        <f t="shared" si="1"/>
        <v>1</v>
      </c>
      <c r="D41" s="59">
        <v>46505.05</v>
      </c>
      <c r="E41" s="42">
        <f t="shared" si="12"/>
        <v>1021959.2731034481</v>
      </c>
      <c r="F41" s="60">
        <v>47</v>
      </c>
      <c r="G41" s="61">
        <v>31</v>
      </c>
      <c r="H41" s="26">
        <f t="shared" si="13"/>
        <v>46139</v>
      </c>
      <c r="I41" s="58">
        <f t="shared" si="2"/>
        <v>27</v>
      </c>
      <c r="J41" s="40">
        <f t="shared" si="3"/>
        <v>2</v>
      </c>
      <c r="K41" s="59">
        <v>16332.44</v>
      </c>
      <c r="L41" s="42">
        <f t="shared" si="14"/>
        <v>930130.30999999994</v>
      </c>
      <c r="M41" s="60">
        <v>21</v>
      </c>
      <c r="N41" s="61">
        <v>10</v>
      </c>
      <c r="O41" s="5"/>
      <c r="P41" s="62">
        <f t="shared" si="4"/>
        <v>-30172.61</v>
      </c>
      <c r="Q41" s="63">
        <f t="shared" si="5"/>
        <v>-0.64880287194616493</v>
      </c>
      <c r="R41" s="64">
        <f t="shared" si="6"/>
        <v>-91828.963103448157</v>
      </c>
      <c r="S41" s="65">
        <f t="shared" si="7"/>
        <v>-8.9855795157653739E-2</v>
      </c>
      <c r="T41" s="2"/>
      <c r="U41" s="2"/>
      <c r="V41" s="2"/>
      <c r="W41" s="5"/>
      <c r="X41" s="6"/>
      <c r="Y41" s="66">
        <v>27</v>
      </c>
      <c r="Z41" s="50">
        <f t="shared" si="8"/>
        <v>44291.91952380952</v>
      </c>
      <c r="AA41" s="51">
        <f t="shared" si="9"/>
        <v>93013.030999999988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45775</v>
      </c>
      <c r="B42" s="58">
        <f t="shared" si="0"/>
        <v>28</v>
      </c>
      <c r="C42" s="40">
        <f t="shared" si="1"/>
        <v>2</v>
      </c>
      <c r="D42" s="59">
        <v>68588.448275862072</v>
      </c>
      <c r="E42" s="42">
        <f t="shared" si="12"/>
        <v>1090547.7213793101</v>
      </c>
      <c r="F42" s="60">
        <v>59</v>
      </c>
      <c r="G42" s="61">
        <v>37</v>
      </c>
      <c r="H42" s="26">
        <f t="shared" si="13"/>
        <v>46140</v>
      </c>
      <c r="I42" s="58">
        <f t="shared" si="2"/>
        <v>28</v>
      </c>
      <c r="J42" s="40">
        <f t="shared" si="3"/>
        <v>3</v>
      </c>
      <c r="K42" s="59">
        <v>51393.13</v>
      </c>
      <c r="L42" s="42">
        <f t="shared" si="14"/>
        <v>981523.44</v>
      </c>
      <c r="M42" s="60">
        <v>34</v>
      </c>
      <c r="N42" s="61">
        <v>23</v>
      </c>
      <c r="O42" s="5"/>
      <c r="P42" s="62">
        <f t="shared" si="4"/>
        <v>-17195.318275862075</v>
      </c>
      <c r="Q42" s="63">
        <f t="shared" si="5"/>
        <v>-0.2507028327379951</v>
      </c>
      <c r="R42" s="64">
        <f t="shared" si="6"/>
        <v>-109024.28137931018</v>
      </c>
      <c r="S42" s="65">
        <f t="shared" si="7"/>
        <v>-9.9972040876320167E-2</v>
      </c>
      <c r="T42" s="2"/>
      <c r="U42" s="2"/>
      <c r="V42" s="2"/>
      <c r="W42" s="5"/>
      <c r="X42" s="6"/>
      <c r="Y42" s="66">
        <v>28</v>
      </c>
      <c r="Z42" s="50">
        <f t="shared" si="8"/>
        <v>28868.336470588234</v>
      </c>
      <c r="AA42" s="51">
        <f t="shared" si="9"/>
        <v>42674.932173913039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45776</v>
      </c>
      <c r="B43" s="58">
        <f t="shared" si="0"/>
        <v>29</v>
      </c>
      <c r="C43" s="40">
        <f t="shared" si="1"/>
        <v>3</v>
      </c>
      <c r="D43" s="59">
        <v>41633.800000000003</v>
      </c>
      <c r="E43" s="42">
        <f t="shared" si="12"/>
        <v>1132181.5213793102</v>
      </c>
      <c r="F43" s="60">
        <v>35</v>
      </c>
      <c r="G43" s="61">
        <v>23</v>
      </c>
      <c r="H43" s="26">
        <f t="shared" si="13"/>
        <v>46141</v>
      </c>
      <c r="I43" s="58">
        <f t="shared" si="2"/>
        <v>29</v>
      </c>
      <c r="J43" s="40">
        <f t="shared" si="3"/>
        <v>4</v>
      </c>
      <c r="K43" s="59">
        <v>17248.439999999999</v>
      </c>
      <c r="L43" s="42">
        <f t="shared" si="14"/>
        <v>998771.87999999989</v>
      </c>
      <c r="M43" s="60">
        <v>18</v>
      </c>
      <c r="N43" s="61">
        <v>14</v>
      </c>
      <c r="O43" s="5"/>
      <c r="P43" s="62">
        <f t="shared" si="4"/>
        <v>-24385.360000000004</v>
      </c>
      <c r="Q43" s="63">
        <f t="shared" si="5"/>
        <v>-0.58571064855958388</v>
      </c>
      <c r="R43" s="64">
        <f t="shared" si="6"/>
        <v>-133409.64137931028</v>
      </c>
      <c r="S43" s="65">
        <f t="shared" si="7"/>
        <v>-0.11783414484347032</v>
      </c>
      <c r="T43" s="2"/>
      <c r="U43" s="2"/>
      <c r="V43" s="2"/>
      <c r="W43" s="5"/>
      <c r="X43" s="6"/>
      <c r="Y43" s="66">
        <v>29</v>
      </c>
      <c r="Z43" s="50">
        <f t="shared" si="8"/>
        <v>55487.32666666666</v>
      </c>
      <c r="AA43" s="51">
        <f t="shared" si="9"/>
        <v>71340.848571428563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45777</v>
      </c>
      <c r="B44" s="58">
        <f t="shared" si="0"/>
        <v>30</v>
      </c>
      <c r="C44" s="40">
        <f t="shared" si="1"/>
        <v>4</v>
      </c>
      <c r="D44" s="59">
        <v>47397.93</v>
      </c>
      <c r="E44" s="42">
        <f t="shared" si="12"/>
        <v>1179579.4513793101</v>
      </c>
      <c r="F44" s="60">
        <v>49</v>
      </c>
      <c r="G44" s="61">
        <v>30</v>
      </c>
      <c r="H44" s="26">
        <f t="shared" si="13"/>
        <v>46142</v>
      </c>
      <c r="I44" s="58">
        <f t="shared" si="2"/>
        <v>30</v>
      </c>
      <c r="J44" s="40">
        <f t="shared" si="3"/>
        <v>5</v>
      </c>
      <c r="K44" s="59">
        <v>38780.46</v>
      </c>
      <c r="L44" s="42">
        <f t="shared" si="14"/>
        <v>1037552.3399999999</v>
      </c>
      <c r="M44" s="60">
        <v>25</v>
      </c>
      <c r="N44" s="61">
        <v>23</v>
      </c>
      <c r="O44" s="5"/>
      <c r="P44" s="62">
        <f t="shared" si="4"/>
        <v>-8617.4700000000012</v>
      </c>
      <c r="Q44" s="63">
        <f t="shared" si="5"/>
        <v>-0.18181110440899007</v>
      </c>
      <c r="R44" s="64">
        <f t="shared" si="6"/>
        <v>-142027.11137931026</v>
      </c>
      <c r="S44" s="65">
        <f t="shared" si="7"/>
        <v>-0.12040487074714179</v>
      </c>
      <c r="T44" s="2"/>
      <c r="U44" s="2"/>
      <c r="V44" s="2"/>
      <c r="W44" s="5"/>
      <c r="X44" s="6"/>
      <c r="Y44" s="66">
        <v>30</v>
      </c>
      <c r="Z44" s="50">
        <f t="shared" si="8"/>
        <v>41502.093599999993</v>
      </c>
      <c r="AA44" s="51">
        <f t="shared" si="9"/>
        <v>45110.971304347819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45778</v>
      </c>
      <c r="B45" s="74">
        <f t="shared" si="0"/>
        <v>1</v>
      </c>
      <c r="C45" s="75">
        <f t="shared" si="1"/>
        <v>5</v>
      </c>
      <c r="D45" s="76"/>
      <c r="E45" s="77" t="str">
        <f t="shared" si="12"/>
        <v/>
      </c>
      <c r="F45" s="78"/>
      <c r="G45" s="79"/>
      <c r="H45" s="26">
        <f t="shared" si="13"/>
        <v>46143</v>
      </c>
      <c r="I45" s="74">
        <f t="shared" si="2"/>
        <v>1</v>
      </c>
      <c r="J45" s="40">
        <f t="shared" si="3"/>
        <v>6</v>
      </c>
      <c r="K45" s="76"/>
      <c r="L45" s="77" t="str">
        <f t="shared" si="14"/>
        <v/>
      </c>
      <c r="M45" s="78"/>
      <c r="N45" s="79"/>
      <c r="O45" s="5"/>
      <c r="P45" s="80" t="str">
        <f t="shared" si="4"/>
        <v/>
      </c>
      <c r="Q45" s="81" t="str">
        <f t="shared" si="5"/>
        <v xml:space="preserve"> </v>
      </c>
      <c r="R45" s="82" t="str">
        <f t="shared" si="6"/>
        <v/>
      </c>
      <c r="S45" s="83" t="str">
        <f t="shared" si="7"/>
        <v/>
      </c>
      <c r="T45" s="2"/>
      <c r="U45" s="2"/>
      <c r="V45" s="2"/>
      <c r="W45" s="5"/>
      <c r="X45" s="6"/>
      <c r="Y45" s="84">
        <v>31</v>
      </c>
      <c r="Z45" s="50" t="str">
        <f t="shared" si="8"/>
        <v xml:space="preserve"> </v>
      </c>
      <c r="AA45" s="51" t="str">
        <f t="shared" si="9"/>
        <v xml:space="preserve"> 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1123</v>
      </c>
      <c r="G46" s="89">
        <f t="shared" si="45"/>
        <v>714</v>
      </c>
      <c r="H46" s="2"/>
      <c r="I46" s="2"/>
      <c r="J46" s="2"/>
      <c r="K46" s="2"/>
      <c r="L46" s="2"/>
      <c r="M46" s="89">
        <f t="shared" ref="M46:N46" si="46">SUM(M15:M45)</f>
        <v>847</v>
      </c>
      <c r="N46" s="89">
        <f t="shared" si="46"/>
        <v>578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1795.0732525951555</v>
      </c>
      <c r="AA46" s="92">
        <f>IFERROR(M46/N46,0)</f>
        <v>1.4653979238754324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1179579.4513793101</v>
      </c>
      <c r="F47" s="97"/>
      <c r="G47" s="97"/>
      <c r="H47" s="98"/>
      <c r="I47" s="129" t="s">
        <v>40</v>
      </c>
      <c r="J47" s="130"/>
      <c r="K47" s="96">
        <f>SUM(K15:K45)</f>
        <v>1037552.3399999999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1368312.1635999996</v>
      </c>
      <c r="F48" s="97"/>
      <c r="G48" s="97"/>
      <c r="H48" s="104"/>
      <c r="I48" s="129" t="s">
        <v>43</v>
      </c>
      <c r="J48" s="130"/>
      <c r="K48" s="103">
        <f>K47*1.16</f>
        <v>1203560.7143999997</v>
      </c>
      <c r="L48" s="105" t="s">
        <v>44</v>
      </c>
      <c r="M48" s="106"/>
      <c r="N48" s="106"/>
      <c r="O48" s="106"/>
      <c r="P48" s="106"/>
      <c r="Q48" s="106"/>
      <c r="R48" s="107">
        <f>K47-E47</f>
        <v>-142027.11137931026</v>
      </c>
      <c r="S48" s="108">
        <f>IFERROR(+K47/E47-1,0)</f>
        <v>-0.12040487074714179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49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-1037552.3399999999</v>
      </c>
      <c r="BN49" s="113">
        <f t="shared" ref="BN49:BO49" si="48">+BN46-M46</f>
        <v>-847</v>
      </c>
      <c r="BO49" s="114">
        <f t="shared" si="48"/>
        <v>-578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53" priority="1" operator="lessThan">
      <formula>0</formula>
    </cfRule>
  </conditionalFormatting>
  <conditionalFormatting sqref="E47:G48 K47:K48">
    <cfRule type="cellIs" dxfId="52" priority="2" operator="lessThan">
      <formula>0</formula>
    </cfRule>
  </conditionalFormatting>
  <conditionalFormatting sqref="K15:L45">
    <cfRule type="cellIs" dxfId="51" priority="3" operator="lessThan">
      <formula>0</formula>
    </cfRule>
  </conditionalFormatting>
  <conditionalFormatting sqref="P15:S45">
    <cfRule type="cellIs" dxfId="50" priority="4" operator="lessThan">
      <formula>0</formula>
    </cfRule>
  </conditionalFormatting>
  <conditionalFormatting sqref="R48:S48">
    <cfRule type="cellIs" dxfId="49" priority="5" operator="lessThan">
      <formula>0</formula>
    </cfRule>
  </conditionalFormatting>
  <conditionalFormatting sqref="V8">
    <cfRule type="expression" dxfId="48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3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3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3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300-000003000000}">
          <x14:formula1>
            <xm:f>DTA!$I$4:$I$18</xm:f>
          </x14:formula1>
          <xm:sqref>D8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2026</v>
      </c>
      <c r="D1" s="3">
        <f>VLOOKUP(D3,DTA!$B$3:$C$15,2,FALSE)</f>
        <v>5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2026</v>
      </c>
      <c r="D3" s="11" t="s">
        <v>50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50</v>
      </c>
      <c r="S8" s="11">
        <v>1</v>
      </c>
      <c r="T8" s="2"/>
      <c r="U8" s="138"/>
      <c r="V8" s="16">
        <v>1690446.7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5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11</v>
      </c>
      <c r="C13" s="147"/>
      <c r="D13" s="147"/>
      <c r="E13" s="147"/>
      <c r="F13" s="147"/>
      <c r="G13" s="148"/>
      <c r="H13" s="5"/>
      <c r="I13" s="149" t="s">
        <v>38</v>
      </c>
      <c r="J13" s="150"/>
      <c r="K13" s="150"/>
      <c r="L13" s="150"/>
      <c r="M13" s="150"/>
      <c r="N13" s="132"/>
      <c r="O13" s="5"/>
      <c r="P13" s="134" t="s">
        <v>52</v>
      </c>
      <c r="Q13" s="150"/>
      <c r="R13" s="150"/>
      <c r="S13" s="132"/>
      <c r="T13" s="2"/>
      <c r="U13" s="24" t="s">
        <v>13</v>
      </c>
      <c r="V13" s="25">
        <f>K47/V8</f>
        <v>0.58547223050569985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46143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46143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46143</v>
      </c>
      <c r="B15" s="39">
        <f t="shared" ref="B15:B45" si="0">+DAY(A15)</f>
        <v>1</v>
      </c>
      <c r="C15" s="40">
        <f t="shared" ref="C15:C45" si="1">+WEEKDAY(A15)</f>
        <v>6</v>
      </c>
      <c r="D15" s="41">
        <v>38703.730000000003</v>
      </c>
      <c r="E15" s="42">
        <f>D15</f>
        <v>38703.730000000003</v>
      </c>
      <c r="F15" s="43">
        <v>35</v>
      </c>
      <c r="G15" s="44">
        <v>30</v>
      </c>
      <c r="H15" s="26">
        <f>H14</f>
        <v>46143</v>
      </c>
      <c r="I15" s="39">
        <f t="shared" ref="I15:I45" si="2">+DAY(H15)</f>
        <v>1</v>
      </c>
      <c r="J15" s="40">
        <f t="shared" ref="J15:J45" si="3">+WEEKDAY(H15)</f>
        <v>6</v>
      </c>
      <c r="K15" s="41">
        <v>38642.01</v>
      </c>
      <c r="L15" s="42">
        <f>K15</f>
        <v>38642.01</v>
      </c>
      <c r="M15" s="43">
        <v>36</v>
      </c>
      <c r="N15" s="44">
        <v>24</v>
      </c>
      <c r="O15" s="5"/>
      <c r="P15" s="45">
        <f t="shared" ref="P15:P45" si="4">IF(NOT(ISBLANK(K15)),SUM(K15-D15),"")</f>
        <v>-61.720000000001164</v>
      </c>
      <c r="Q15" s="46">
        <f t="shared" ref="Q15:Q45" si="5">IF(NOT(ISBLANK(K15)),IFERROR(((K15/D15)-1)," ")," ")</f>
        <v>-1.5946783423717026E-3</v>
      </c>
      <c r="R15" s="47">
        <f t="shared" ref="R15:R45" si="6">IF(NOT(ISBLANK(K15)),SUM(L15-E15),"")</f>
        <v>-61.720000000001164</v>
      </c>
      <c r="S15" s="48">
        <f t="shared" ref="S15:S45" si="7">IFERROR(((L15/E15)-1),"")</f>
        <v>-1.5946783423717026E-3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1073.3891666666668</v>
      </c>
      <c r="AA15" s="51">
        <f t="shared" ref="AA15:AA45" si="9">IFERROR((L15/N15)," ")</f>
        <v>1610.08375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46144</v>
      </c>
      <c r="B16" s="58">
        <f t="shared" si="0"/>
        <v>2</v>
      </c>
      <c r="C16" s="40">
        <f t="shared" si="1"/>
        <v>7</v>
      </c>
      <c r="D16" s="59">
        <v>49155.01</v>
      </c>
      <c r="E16" s="42">
        <f t="shared" ref="E16:E45" si="12">IF(NOT(ISBLANK(D16)),SUM(E15+D16),"")</f>
        <v>87858.74</v>
      </c>
      <c r="F16" s="60">
        <v>51</v>
      </c>
      <c r="G16" s="61">
        <v>27</v>
      </c>
      <c r="H16" s="26">
        <f t="shared" ref="H16:H45" si="13">H15+1</f>
        <v>46144</v>
      </c>
      <c r="I16" s="58">
        <f t="shared" si="2"/>
        <v>2</v>
      </c>
      <c r="J16" s="40">
        <f t="shared" si="3"/>
        <v>7</v>
      </c>
      <c r="K16" s="59">
        <v>30885.63</v>
      </c>
      <c r="L16" s="42">
        <f t="shared" ref="L16:L45" si="14">IF(NOT(ISBLANK(K16)),SUM(L15+K16),"")</f>
        <v>69527.64</v>
      </c>
      <c r="M16" s="60">
        <v>38</v>
      </c>
      <c r="N16" s="61">
        <v>29</v>
      </c>
      <c r="O16" s="5"/>
      <c r="P16" s="62">
        <f t="shared" si="4"/>
        <v>-18269.38</v>
      </c>
      <c r="Q16" s="63">
        <f t="shared" si="5"/>
        <v>-0.37166872715517707</v>
      </c>
      <c r="R16" s="64">
        <f t="shared" si="6"/>
        <v>-18331.100000000006</v>
      </c>
      <c r="S16" s="65">
        <f t="shared" si="7"/>
        <v>-0.2086428737767011</v>
      </c>
      <c r="T16" s="2"/>
      <c r="U16" s="2"/>
      <c r="V16" s="2"/>
      <c r="W16" s="5"/>
      <c r="X16" s="6"/>
      <c r="Y16" s="66">
        <v>2</v>
      </c>
      <c r="Z16" s="50">
        <f t="shared" si="8"/>
        <v>1829.6747368421052</v>
      </c>
      <c r="AA16" s="51">
        <f t="shared" si="9"/>
        <v>2397.5048275862068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46145</v>
      </c>
      <c r="B17" s="58">
        <f t="shared" si="0"/>
        <v>3</v>
      </c>
      <c r="C17" s="40">
        <f t="shared" si="1"/>
        <v>1</v>
      </c>
      <c r="D17" s="59">
        <v>36163.61</v>
      </c>
      <c r="E17" s="42">
        <f t="shared" si="12"/>
        <v>124022.35</v>
      </c>
      <c r="F17" s="60">
        <v>36</v>
      </c>
      <c r="G17" s="61">
        <v>26</v>
      </c>
      <c r="H17" s="26">
        <f t="shared" si="13"/>
        <v>46145</v>
      </c>
      <c r="I17" s="58">
        <f t="shared" si="2"/>
        <v>3</v>
      </c>
      <c r="J17" s="40">
        <f t="shared" si="3"/>
        <v>1</v>
      </c>
      <c r="K17" s="59">
        <v>32597.759999999998</v>
      </c>
      <c r="L17" s="42">
        <f t="shared" si="14"/>
        <v>102125.4</v>
      </c>
      <c r="M17" s="60">
        <v>34</v>
      </c>
      <c r="N17" s="61">
        <v>33</v>
      </c>
      <c r="O17" s="5"/>
      <c r="P17" s="62">
        <f t="shared" si="4"/>
        <v>-3565.8500000000022</v>
      </c>
      <c r="Q17" s="63">
        <f t="shared" si="5"/>
        <v>-9.8603264441796679E-2</v>
      </c>
      <c r="R17" s="64">
        <f t="shared" si="6"/>
        <v>-21896.950000000012</v>
      </c>
      <c r="S17" s="65">
        <f t="shared" si="7"/>
        <v>-0.17655648356929221</v>
      </c>
      <c r="T17" s="2"/>
      <c r="U17" s="2"/>
      <c r="V17" s="2"/>
      <c r="W17" s="5"/>
      <c r="X17" s="6"/>
      <c r="Y17" s="66">
        <v>3</v>
      </c>
      <c r="Z17" s="50">
        <f t="shared" si="8"/>
        <v>3003.6882352941175</v>
      </c>
      <c r="AA17" s="51">
        <f t="shared" si="9"/>
        <v>3094.7090909090907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46146</v>
      </c>
      <c r="B18" s="58">
        <f t="shared" si="0"/>
        <v>4</v>
      </c>
      <c r="C18" s="40">
        <f t="shared" si="1"/>
        <v>2</v>
      </c>
      <c r="D18" s="59">
        <v>32233.14</v>
      </c>
      <c r="E18" s="42">
        <f t="shared" si="12"/>
        <v>156255.49</v>
      </c>
      <c r="F18" s="60">
        <v>36</v>
      </c>
      <c r="G18" s="61">
        <v>26</v>
      </c>
      <c r="H18" s="26">
        <f t="shared" si="13"/>
        <v>46146</v>
      </c>
      <c r="I18" s="58">
        <f t="shared" si="2"/>
        <v>4</v>
      </c>
      <c r="J18" s="40">
        <f t="shared" si="3"/>
        <v>2</v>
      </c>
      <c r="K18" s="59">
        <v>37867.01</v>
      </c>
      <c r="L18" s="42">
        <f t="shared" si="14"/>
        <v>139992.41</v>
      </c>
      <c r="M18" s="60">
        <v>36</v>
      </c>
      <c r="N18" s="61">
        <v>18</v>
      </c>
      <c r="O18" s="5"/>
      <c r="P18" s="62">
        <f t="shared" si="4"/>
        <v>5633.8700000000026</v>
      </c>
      <c r="Q18" s="63">
        <f t="shared" si="5"/>
        <v>0.17478501939308444</v>
      </c>
      <c r="R18" s="64">
        <f t="shared" si="6"/>
        <v>-16263.079999999987</v>
      </c>
      <c r="S18" s="65">
        <f t="shared" si="7"/>
        <v>-0.10408005504318596</v>
      </c>
      <c r="T18" s="2"/>
      <c r="U18" s="2"/>
      <c r="V18" s="2"/>
      <c r="W18" s="5"/>
      <c r="X18" s="6"/>
      <c r="Y18" s="66">
        <v>4</v>
      </c>
      <c r="Z18" s="50">
        <f t="shared" si="8"/>
        <v>3888.6780555555556</v>
      </c>
      <c r="AA18" s="51">
        <f t="shared" si="9"/>
        <v>7777.3561111111112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46147</v>
      </c>
      <c r="B19" s="58">
        <f t="shared" si="0"/>
        <v>5</v>
      </c>
      <c r="C19" s="40">
        <f t="shared" si="1"/>
        <v>3</v>
      </c>
      <c r="D19" s="59">
        <v>28437.09</v>
      </c>
      <c r="E19" s="42">
        <f t="shared" si="12"/>
        <v>184692.58</v>
      </c>
      <c r="F19" s="60">
        <v>33</v>
      </c>
      <c r="G19" s="61">
        <v>22</v>
      </c>
      <c r="H19" s="26">
        <f t="shared" si="13"/>
        <v>46147</v>
      </c>
      <c r="I19" s="58">
        <f t="shared" si="2"/>
        <v>5</v>
      </c>
      <c r="J19" s="40">
        <f t="shared" si="3"/>
        <v>3</v>
      </c>
      <c r="K19" s="59">
        <v>33352.15</v>
      </c>
      <c r="L19" s="42">
        <f t="shared" si="14"/>
        <v>173344.56</v>
      </c>
      <c r="M19" s="60">
        <v>27</v>
      </c>
      <c r="N19" s="61">
        <v>15</v>
      </c>
      <c r="O19" s="5"/>
      <c r="P19" s="62">
        <f t="shared" si="4"/>
        <v>4915.0600000000013</v>
      </c>
      <c r="Q19" s="63">
        <f t="shared" si="5"/>
        <v>0.17283976665685552</v>
      </c>
      <c r="R19" s="64">
        <f t="shared" si="6"/>
        <v>-11348.01999999999</v>
      </c>
      <c r="S19" s="65">
        <f t="shared" si="7"/>
        <v>-6.1442749892821835E-2</v>
      </c>
      <c r="T19" s="2"/>
      <c r="U19" s="2"/>
      <c r="V19" s="2"/>
      <c r="W19" s="5"/>
      <c r="X19" s="6"/>
      <c r="Y19" s="66">
        <v>5</v>
      </c>
      <c r="Z19" s="50">
        <f t="shared" si="8"/>
        <v>6420.1688888888884</v>
      </c>
      <c r="AA19" s="51">
        <f t="shared" si="9"/>
        <v>11556.304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46148</v>
      </c>
      <c r="B20" s="58">
        <f t="shared" si="0"/>
        <v>6</v>
      </c>
      <c r="C20" s="40">
        <f t="shared" si="1"/>
        <v>4</v>
      </c>
      <c r="D20" s="59">
        <v>13370.96</v>
      </c>
      <c r="E20" s="42">
        <f t="shared" si="12"/>
        <v>198063.53999999998</v>
      </c>
      <c r="F20" s="60">
        <v>20</v>
      </c>
      <c r="G20" s="61">
        <v>10</v>
      </c>
      <c r="H20" s="26">
        <f t="shared" si="13"/>
        <v>46148</v>
      </c>
      <c r="I20" s="58">
        <f t="shared" si="2"/>
        <v>6</v>
      </c>
      <c r="J20" s="40">
        <f t="shared" si="3"/>
        <v>4</v>
      </c>
      <c r="K20" s="59">
        <v>10423.27</v>
      </c>
      <c r="L20" s="42">
        <f t="shared" si="14"/>
        <v>183767.83</v>
      </c>
      <c r="M20" s="60">
        <v>9</v>
      </c>
      <c r="N20" s="61">
        <v>11</v>
      </c>
      <c r="O20" s="5"/>
      <c r="P20" s="62">
        <f t="shared" si="4"/>
        <v>-2947.6899999999987</v>
      </c>
      <c r="Q20" s="63">
        <f t="shared" si="5"/>
        <v>-0.22045462704248597</v>
      </c>
      <c r="R20" s="64">
        <f t="shared" si="6"/>
        <v>-14295.709999999992</v>
      </c>
      <c r="S20" s="65">
        <f t="shared" si="7"/>
        <v>-7.2177393173927906E-2</v>
      </c>
      <c r="T20" s="2"/>
      <c r="U20" s="2"/>
      <c r="V20" s="2"/>
      <c r="W20" s="5"/>
      <c r="X20" s="6"/>
      <c r="Y20" s="66">
        <v>6</v>
      </c>
      <c r="Z20" s="50">
        <f t="shared" si="8"/>
        <v>20418.647777777776</v>
      </c>
      <c r="AA20" s="51">
        <f t="shared" si="9"/>
        <v>16706.166363636363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46149</v>
      </c>
      <c r="B21" s="58">
        <f t="shared" si="0"/>
        <v>7</v>
      </c>
      <c r="C21" s="40">
        <f t="shared" si="1"/>
        <v>5</v>
      </c>
      <c r="D21" s="59">
        <v>15576.76</v>
      </c>
      <c r="E21" s="42">
        <f t="shared" si="12"/>
        <v>213640.3</v>
      </c>
      <c r="F21" s="60">
        <v>21</v>
      </c>
      <c r="G21" s="61">
        <v>10</v>
      </c>
      <c r="H21" s="26">
        <f t="shared" si="13"/>
        <v>46149</v>
      </c>
      <c r="I21" s="58">
        <f t="shared" si="2"/>
        <v>7</v>
      </c>
      <c r="J21" s="40">
        <f t="shared" si="3"/>
        <v>5</v>
      </c>
      <c r="K21" s="59">
        <v>21254.25</v>
      </c>
      <c r="L21" s="42">
        <f t="shared" si="14"/>
        <v>205022.07999999999</v>
      </c>
      <c r="M21" s="60">
        <v>16</v>
      </c>
      <c r="N21" s="61">
        <v>10</v>
      </c>
      <c r="O21" s="5"/>
      <c r="P21" s="62">
        <f t="shared" si="4"/>
        <v>5677.49</v>
      </c>
      <c r="Q21" s="63">
        <f t="shared" si="5"/>
        <v>0.36448465534552765</v>
      </c>
      <c r="R21" s="64">
        <f t="shared" si="6"/>
        <v>-8618.2200000000012</v>
      </c>
      <c r="S21" s="65">
        <f t="shared" si="7"/>
        <v>-4.0339860971923325E-2</v>
      </c>
      <c r="T21" s="2"/>
      <c r="U21" s="2"/>
      <c r="V21" s="2"/>
      <c r="W21" s="5"/>
      <c r="X21" s="6"/>
      <c r="Y21" s="66">
        <v>7</v>
      </c>
      <c r="Z21" s="50">
        <f t="shared" si="8"/>
        <v>12813.88</v>
      </c>
      <c r="AA21" s="51">
        <f t="shared" si="9"/>
        <v>20502.207999999999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46150</v>
      </c>
      <c r="B22" s="58">
        <f t="shared" si="0"/>
        <v>8</v>
      </c>
      <c r="C22" s="40">
        <f t="shared" si="1"/>
        <v>6</v>
      </c>
      <c r="D22" s="59">
        <v>35414.910000000003</v>
      </c>
      <c r="E22" s="42">
        <f t="shared" si="12"/>
        <v>249055.21</v>
      </c>
      <c r="F22" s="60">
        <v>40</v>
      </c>
      <c r="G22" s="61">
        <v>20</v>
      </c>
      <c r="H22" s="26">
        <f t="shared" si="13"/>
        <v>46150</v>
      </c>
      <c r="I22" s="58">
        <f t="shared" si="2"/>
        <v>8</v>
      </c>
      <c r="J22" s="40">
        <f t="shared" si="3"/>
        <v>6</v>
      </c>
      <c r="K22" s="59">
        <v>26393.95</v>
      </c>
      <c r="L22" s="42">
        <f t="shared" si="14"/>
        <v>231416.03</v>
      </c>
      <c r="M22" s="60">
        <v>23</v>
      </c>
      <c r="N22" s="61">
        <v>15</v>
      </c>
      <c r="O22" s="5"/>
      <c r="P22" s="62">
        <f t="shared" si="4"/>
        <v>-9020.9600000000028</v>
      </c>
      <c r="Q22" s="63">
        <f t="shared" si="5"/>
        <v>-0.25472209303934423</v>
      </c>
      <c r="R22" s="64">
        <f t="shared" si="6"/>
        <v>-17639.179999999993</v>
      </c>
      <c r="S22" s="65">
        <f t="shared" si="7"/>
        <v>-7.0824376651265397E-2</v>
      </c>
      <c r="T22" s="2"/>
      <c r="U22" s="2"/>
      <c r="V22" s="2"/>
      <c r="W22" s="5"/>
      <c r="X22" s="6"/>
      <c r="Y22" s="66">
        <v>8</v>
      </c>
      <c r="Z22" s="50">
        <f t="shared" si="8"/>
        <v>10061.566521739131</v>
      </c>
      <c r="AA22" s="51">
        <f t="shared" si="9"/>
        <v>15427.735333333334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46151</v>
      </c>
      <c r="B23" s="58">
        <f t="shared" si="0"/>
        <v>9</v>
      </c>
      <c r="C23" s="40">
        <f t="shared" si="1"/>
        <v>7</v>
      </c>
      <c r="D23" s="59">
        <v>37777.85</v>
      </c>
      <c r="E23" s="42">
        <f t="shared" si="12"/>
        <v>286833.06</v>
      </c>
      <c r="F23" s="60">
        <v>33</v>
      </c>
      <c r="G23" s="61">
        <v>26</v>
      </c>
      <c r="H23" s="26">
        <f t="shared" si="13"/>
        <v>46151</v>
      </c>
      <c r="I23" s="58">
        <f t="shared" si="2"/>
        <v>9</v>
      </c>
      <c r="J23" s="40">
        <f t="shared" si="3"/>
        <v>7</v>
      </c>
      <c r="K23" s="59">
        <v>47450.9</v>
      </c>
      <c r="L23" s="42">
        <f t="shared" si="14"/>
        <v>278866.93</v>
      </c>
      <c r="M23" s="60">
        <v>48</v>
      </c>
      <c r="N23" s="61">
        <v>37</v>
      </c>
      <c r="O23" s="5"/>
      <c r="P23" s="62">
        <f t="shared" si="4"/>
        <v>9673.0500000000029</v>
      </c>
      <c r="Q23" s="63">
        <f t="shared" si="5"/>
        <v>0.25605083402046436</v>
      </c>
      <c r="R23" s="64">
        <f t="shared" si="6"/>
        <v>-7966.1300000000047</v>
      </c>
      <c r="S23" s="65">
        <f t="shared" si="7"/>
        <v>-2.7772705140753362E-2</v>
      </c>
      <c r="T23" s="2"/>
      <c r="U23" s="2"/>
      <c r="V23" s="2"/>
      <c r="W23" s="5"/>
      <c r="X23" s="6"/>
      <c r="Y23" s="66">
        <v>9</v>
      </c>
      <c r="Z23" s="50">
        <f t="shared" si="8"/>
        <v>5809.7277083333329</v>
      </c>
      <c r="AA23" s="51">
        <f t="shared" si="9"/>
        <v>7536.9440540540536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46152</v>
      </c>
      <c r="B24" s="58">
        <f t="shared" si="0"/>
        <v>10</v>
      </c>
      <c r="C24" s="40">
        <f t="shared" si="1"/>
        <v>1</v>
      </c>
      <c r="D24" s="59">
        <v>34523.56</v>
      </c>
      <c r="E24" s="42">
        <f t="shared" si="12"/>
        <v>321356.62</v>
      </c>
      <c r="F24" s="60">
        <v>43</v>
      </c>
      <c r="G24" s="61">
        <v>27</v>
      </c>
      <c r="H24" s="26">
        <f t="shared" si="13"/>
        <v>46152</v>
      </c>
      <c r="I24" s="58">
        <f t="shared" si="2"/>
        <v>10</v>
      </c>
      <c r="J24" s="40">
        <f t="shared" si="3"/>
        <v>1</v>
      </c>
      <c r="K24" s="59">
        <v>36507.120000000003</v>
      </c>
      <c r="L24" s="42">
        <f t="shared" si="14"/>
        <v>315374.05</v>
      </c>
      <c r="M24" s="60">
        <v>33</v>
      </c>
      <c r="N24" s="61">
        <v>29</v>
      </c>
      <c r="O24" s="5"/>
      <c r="P24" s="62">
        <f t="shared" si="4"/>
        <v>1983.5600000000049</v>
      </c>
      <c r="Q24" s="63">
        <f t="shared" si="5"/>
        <v>5.7455256642130914E-2</v>
      </c>
      <c r="R24" s="64">
        <f t="shared" si="6"/>
        <v>-5982.570000000007</v>
      </c>
      <c r="S24" s="65">
        <f t="shared" si="7"/>
        <v>-1.8616607306860544E-2</v>
      </c>
      <c r="T24" s="2"/>
      <c r="U24" s="2"/>
      <c r="V24" s="2"/>
      <c r="W24" s="5"/>
      <c r="X24" s="6"/>
      <c r="Y24" s="66">
        <v>10</v>
      </c>
      <c r="Z24" s="50">
        <f t="shared" si="8"/>
        <v>9556.7893939393944</v>
      </c>
      <c r="AA24" s="51">
        <f t="shared" si="9"/>
        <v>10874.967241379311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46153</v>
      </c>
      <c r="B25" s="58">
        <f t="shared" si="0"/>
        <v>11</v>
      </c>
      <c r="C25" s="40">
        <f t="shared" si="1"/>
        <v>2</v>
      </c>
      <c r="D25" s="59">
        <v>46027.25</v>
      </c>
      <c r="E25" s="42">
        <f t="shared" si="12"/>
        <v>367383.87</v>
      </c>
      <c r="F25" s="60">
        <v>42</v>
      </c>
      <c r="G25" s="61">
        <v>30</v>
      </c>
      <c r="H25" s="26">
        <f t="shared" si="13"/>
        <v>46153</v>
      </c>
      <c r="I25" s="58">
        <f t="shared" si="2"/>
        <v>11</v>
      </c>
      <c r="J25" s="40">
        <f t="shared" si="3"/>
        <v>2</v>
      </c>
      <c r="K25" s="59">
        <v>9312.09</v>
      </c>
      <c r="L25" s="42">
        <f t="shared" si="14"/>
        <v>324686.14</v>
      </c>
      <c r="M25" s="60">
        <v>8</v>
      </c>
      <c r="N25" s="61">
        <v>7</v>
      </c>
      <c r="O25" s="5"/>
      <c r="P25" s="62">
        <f t="shared" si="4"/>
        <v>-36715.160000000003</v>
      </c>
      <c r="Q25" s="63">
        <f t="shared" si="5"/>
        <v>-0.79768311163495542</v>
      </c>
      <c r="R25" s="64">
        <f t="shared" si="6"/>
        <v>-42697.729999999981</v>
      </c>
      <c r="S25" s="65">
        <f t="shared" si="7"/>
        <v>-0.1162210251636796</v>
      </c>
      <c r="T25" s="2"/>
      <c r="U25" s="2"/>
      <c r="V25" s="2"/>
      <c r="W25" s="5"/>
      <c r="X25" s="6"/>
      <c r="Y25" s="66">
        <v>11</v>
      </c>
      <c r="Z25" s="50">
        <f t="shared" si="8"/>
        <v>40585.767500000002</v>
      </c>
      <c r="AA25" s="51">
        <f t="shared" si="9"/>
        <v>46383.734285714287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46154</v>
      </c>
      <c r="B26" s="58">
        <f t="shared" si="0"/>
        <v>12</v>
      </c>
      <c r="C26" s="40">
        <f t="shared" si="1"/>
        <v>3</v>
      </c>
      <c r="D26" s="59">
        <v>22275.25</v>
      </c>
      <c r="E26" s="42">
        <f t="shared" si="12"/>
        <v>389659.12</v>
      </c>
      <c r="F26" s="60">
        <v>21</v>
      </c>
      <c r="G26" s="61">
        <v>9</v>
      </c>
      <c r="H26" s="26">
        <f t="shared" si="13"/>
        <v>46154</v>
      </c>
      <c r="I26" s="58">
        <f t="shared" si="2"/>
        <v>12</v>
      </c>
      <c r="J26" s="40">
        <f t="shared" si="3"/>
        <v>3</v>
      </c>
      <c r="K26" s="59">
        <v>40018.120000000003</v>
      </c>
      <c r="L26" s="42">
        <f t="shared" si="14"/>
        <v>364704.26</v>
      </c>
      <c r="M26" s="60">
        <v>29</v>
      </c>
      <c r="N26" s="61">
        <v>18</v>
      </c>
      <c r="O26" s="5"/>
      <c r="P26" s="62">
        <f t="shared" si="4"/>
        <v>17742.870000000003</v>
      </c>
      <c r="Q26" s="63">
        <f t="shared" si="5"/>
        <v>0.79652843402430951</v>
      </c>
      <c r="R26" s="64">
        <f t="shared" si="6"/>
        <v>-24954.859999999986</v>
      </c>
      <c r="S26" s="65">
        <f t="shared" si="7"/>
        <v>-6.4042797201820933E-2</v>
      </c>
      <c r="T26" s="2"/>
      <c r="U26" s="2"/>
      <c r="V26" s="2"/>
      <c r="W26" s="5"/>
      <c r="X26" s="6"/>
      <c r="Y26" s="66">
        <v>12</v>
      </c>
      <c r="Z26" s="50">
        <f t="shared" si="8"/>
        <v>12576.008965517241</v>
      </c>
      <c r="AA26" s="51">
        <f t="shared" si="9"/>
        <v>20261.347777777777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46155</v>
      </c>
      <c r="B27" s="58">
        <f t="shared" si="0"/>
        <v>13</v>
      </c>
      <c r="C27" s="40">
        <f t="shared" si="1"/>
        <v>4</v>
      </c>
      <c r="D27" s="59">
        <v>21858.91</v>
      </c>
      <c r="E27" s="42">
        <f t="shared" si="12"/>
        <v>411518.02999999997</v>
      </c>
      <c r="F27" s="60">
        <v>25</v>
      </c>
      <c r="G27" s="61">
        <v>17</v>
      </c>
      <c r="H27" s="26">
        <f t="shared" si="13"/>
        <v>46155</v>
      </c>
      <c r="I27" s="58">
        <f t="shared" si="2"/>
        <v>13</v>
      </c>
      <c r="J27" s="40">
        <f t="shared" si="3"/>
        <v>4</v>
      </c>
      <c r="K27" s="59">
        <v>16995.97</v>
      </c>
      <c r="L27" s="42">
        <f t="shared" si="14"/>
        <v>381700.23</v>
      </c>
      <c r="M27" s="60">
        <v>15</v>
      </c>
      <c r="N27" s="61">
        <v>12</v>
      </c>
      <c r="O27" s="5"/>
      <c r="P27" s="62">
        <f t="shared" si="4"/>
        <v>-4862.9399999999987</v>
      </c>
      <c r="Q27" s="63">
        <f t="shared" si="5"/>
        <v>-0.22246946439689808</v>
      </c>
      <c r="R27" s="64">
        <f t="shared" si="6"/>
        <v>-29817.799999999988</v>
      </c>
      <c r="S27" s="65">
        <f t="shared" si="7"/>
        <v>-7.2458064595614435E-2</v>
      </c>
      <c r="T27" s="2"/>
      <c r="U27" s="2"/>
      <c r="V27" s="2"/>
      <c r="W27" s="5"/>
      <c r="X27" s="6"/>
      <c r="Y27" s="66">
        <v>13</v>
      </c>
      <c r="Z27" s="50">
        <f t="shared" si="8"/>
        <v>25446.681999999997</v>
      </c>
      <c r="AA27" s="51">
        <f t="shared" si="9"/>
        <v>31808.352499999997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46156</v>
      </c>
      <c r="B28" s="58">
        <f t="shared" si="0"/>
        <v>14</v>
      </c>
      <c r="C28" s="40">
        <f t="shared" si="1"/>
        <v>5</v>
      </c>
      <c r="D28" s="59">
        <v>21082.880000000001</v>
      </c>
      <c r="E28" s="42">
        <f t="shared" si="12"/>
        <v>432600.91</v>
      </c>
      <c r="F28" s="60">
        <v>21</v>
      </c>
      <c r="G28" s="61">
        <v>16</v>
      </c>
      <c r="H28" s="26">
        <f t="shared" si="13"/>
        <v>46156</v>
      </c>
      <c r="I28" s="58">
        <f t="shared" si="2"/>
        <v>14</v>
      </c>
      <c r="J28" s="40">
        <f t="shared" si="3"/>
        <v>5</v>
      </c>
      <c r="K28" s="59">
        <v>35582.03</v>
      </c>
      <c r="L28" s="42">
        <f t="shared" si="14"/>
        <v>417282.26</v>
      </c>
      <c r="M28" s="60">
        <v>26</v>
      </c>
      <c r="N28" s="61">
        <v>17</v>
      </c>
      <c r="O28" s="5"/>
      <c r="P28" s="62">
        <f t="shared" si="4"/>
        <v>14499.149999999998</v>
      </c>
      <c r="Q28" s="63">
        <f t="shared" si="5"/>
        <v>0.68772150673911714</v>
      </c>
      <c r="R28" s="64">
        <f t="shared" si="6"/>
        <v>-15318.649999999965</v>
      </c>
      <c r="S28" s="65">
        <f t="shared" si="7"/>
        <v>-3.5410582007328606E-2</v>
      </c>
      <c r="T28" s="2"/>
      <c r="U28" s="2"/>
      <c r="V28" s="2"/>
      <c r="W28" s="5"/>
      <c r="X28" s="6"/>
      <c r="Y28" s="66">
        <v>14</v>
      </c>
      <c r="Z28" s="50">
        <f t="shared" si="8"/>
        <v>16049.317692307694</v>
      </c>
      <c r="AA28" s="51">
        <f t="shared" si="9"/>
        <v>24546.015294117649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46157</v>
      </c>
      <c r="B29" s="58">
        <f t="shared" si="0"/>
        <v>15</v>
      </c>
      <c r="C29" s="40">
        <f t="shared" si="1"/>
        <v>6</v>
      </c>
      <c r="D29" s="59">
        <v>9412.9500000000007</v>
      </c>
      <c r="E29" s="42">
        <f t="shared" si="12"/>
        <v>442013.86</v>
      </c>
      <c r="F29" s="60">
        <v>11</v>
      </c>
      <c r="G29" s="61">
        <v>11</v>
      </c>
      <c r="H29" s="26">
        <f t="shared" si="13"/>
        <v>46157</v>
      </c>
      <c r="I29" s="58">
        <f t="shared" si="2"/>
        <v>15</v>
      </c>
      <c r="J29" s="40">
        <f t="shared" si="3"/>
        <v>6</v>
      </c>
      <c r="K29" s="59">
        <v>43853.96</v>
      </c>
      <c r="L29" s="42">
        <f t="shared" si="14"/>
        <v>461136.22000000003</v>
      </c>
      <c r="M29" s="60">
        <v>44</v>
      </c>
      <c r="N29" s="61">
        <v>28</v>
      </c>
      <c r="O29" s="5"/>
      <c r="P29" s="62">
        <f t="shared" si="4"/>
        <v>34441.009999999995</v>
      </c>
      <c r="Q29" s="63">
        <f t="shared" si="5"/>
        <v>3.6588965202194847</v>
      </c>
      <c r="R29" s="64">
        <f t="shared" si="6"/>
        <v>19122.360000000044</v>
      </c>
      <c r="S29" s="65">
        <f t="shared" si="7"/>
        <v>4.3261901334949115E-2</v>
      </c>
      <c r="T29" s="2"/>
      <c r="U29" s="2"/>
      <c r="V29" s="2"/>
      <c r="W29" s="5"/>
      <c r="X29" s="6"/>
      <c r="Y29" s="66">
        <v>15</v>
      </c>
      <c r="Z29" s="50">
        <f t="shared" si="8"/>
        <v>10480.368636363637</v>
      </c>
      <c r="AA29" s="51">
        <f t="shared" si="9"/>
        <v>16469.150714285715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46158</v>
      </c>
      <c r="B30" s="58">
        <f t="shared" si="0"/>
        <v>16</v>
      </c>
      <c r="C30" s="40">
        <f t="shared" si="1"/>
        <v>7</v>
      </c>
      <c r="D30" s="59">
        <v>9542.24</v>
      </c>
      <c r="E30" s="42">
        <f t="shared" si="12"/>
        <v>451556.1</v>
      </c>
      <c r="F30" s="60">
        <v>11</v>
      </c>
      <c r="G30" s="61">
        <v>11</v>
      </c>
      <c r="H30" s="26">
        <f t="shared" si="13"/>
        <v>46158</v>
      </c>
      <c r="I30" s="58">
        <f t="shared" si="2"/>
        <v>16</v>
      </c>
      <c r="J30" s="40">
        <f t="shared" si="3"/>
        <v>7</v>
      </c>
      <c r="K30" s="59">
        <v>56504.73</v>
      </c>
      <c r="L30" s="42">
        <f t="shared" si="14"/>
        <v>517640.95</v>
      </c>
      <c r="M30" s="60">
        <v>46</v>
      </c>
      <c r="N30" s="61">
        <v>27</v>
      </c>
      <c r="O30" s="5"/>
      <c r="P30" s="62">
        <f t="shared" si="4"/>
        <v>46962.490000000005</v>
      </c>
      <c r="Q30" s="63">
        <f t="shared" si="5"/>
        <v>4.9215372910343911</v>
      </c>
      <c r="R30" s="64">
        <f t="shared" si="6"/>
        <v>66084.850000000035</v>
      </c>
      <c r="S30" s="65">
        <f t="shared" si="7"/>
        <v>0.14634914687233769</v>
      </c>
      <c r="T30" s="2"/>
      <c r="U30" s="2"/>
      <c r="V30" s="2"/>
      <c r="W30" s="5"/>
      <c r="X30" s="6"/>
      <c r="Y30" s="66">
        <v>16</v>
      </c>
      <c r="Z30" s="50">
        <f t="shared" si="8"/>
        <v>11253.064130434783</v>
      </c>
      <c r="AA30" s="51">
        <f t="shared" si="9"/>
        <v>19171.887037037039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46159</v>
      </c>
      <c r="B31" s="58">
        <f t="shared" si="0"/>
        <v>17</v>
      </c>
      <c r="C31" s="40">
        <f t="shared" si="1"/>
        <v>1</v>
      </c>
      <c r="D31" s="59">
        <v>26182.76</v>
      </c>
      <c r="E31" s="42">
        <f t="shared" si="12"/>
        <v>477738.86</v>
      </c>
      <c r="F31" s="60">
        <v>32</v>
      </c>
      <c r="G31" s="61">
        <v>18</v>
      </c>
      <c r="H31" s="26">
        <f t="shared" si="13"/>
        <v>46159</v>
      </c>
      <c r="I31" s="58">
        <f t="shared" si="2"/>
        <v>17</v>
      </c>
      <c r="J31" s="40">
        <f t="shared" si="3"/>
        <v>1</v>
      </c>
      <c r="K31" s="59">
        <v>24860.34</v>
      </c>
      <c r="L31" s="42">
        <f t="shared" si="14"/>
        <v>542501.29</v>
      </c>
      <c r="M31" s="60">
        <v>25</v>
      </c>
      <c r="N31" s="61">
        <v>18</v>
      </c>
      <c r="O31" s="5"/>
      <c r="P31" s="62">
        <f t="shared" si="4"/>
        <v>-1322.4199999999983</v>
      </c>
      <c r="Q31" s="63">
        <f t="shared" si="5"/>
        <v>-5.0507280363109142E-2</v>
      </c>
      <c r="R31" s="64">
        <f t="shared" si="6"/>
        <v>64762.430000000051</v>
      </c>
      <c r="S31" s="65">
        <f t="shared" si="7"/>
        <v>0.13556031426876203</v>
      </c>
      <c r="T31" s="2"/>
      <c r="U31" s="2"/>
      <c r="V31" s="2"/>
      <c r="W31" s="5"/>
      <c r="X31" s="6"/>
      <c r="Y31" s="66">
        <v>17</v>
      </c>
      <c r="Z31" s="50">
        <f t="shared" si="8"/>
        <v>21700.051600000003</v>
      </c>
      <c r="AA31" s="51">
        <f t="shared" si="9"/>
        <v>30138.960555555557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46160</v>
      </c>
      <c r="B32" s="58">
        <f t="shared" si="0"/>
        <v>18</v>
      </c>
      <c r="C32" s="40">
        <f t="shared" si="1"/>
        <v>2</v>
      </c>
      <c r="D32" s="59">
        <v>36970.89</v>
      </c>
      <c r="E32" s="42">
        <f t="shared" si="12"/>
        <v>514709.75</v>
      </c>
      <c r="F32" s="60">
        <v>40</v>
      </c>
      <c r="G32" s="61">
        <v>24</v>
      </c>
      <c r="H32" s="26">
        <f t="shared" si="13"/>
        <v>46160</v>
      </c>
      <c r="I32" s="58">
        <f t="shared" si="2"/>
        <v>18</v>
      </c>
      <c r="J32" s="40">
        <f t="shared" si="3"/>
        <v>2</v>
      </c>
      <c r="K32" s="59">
        <v>8960.7000000000007</v>
      </c>
      <c r="L32" s="42">
        <f t="shared" si="14"/>
        <v>551461.99</v>
      </c>
      <c r="M32" s="60">
        <v>7</v>
      </c>
      <c r="N32" s="61">
        <v>6</v>
      </c>
      <c r="O32" s="5"/>
      <c r="P32" s="62">
        <f t="shared" si="4"/>
        <v>-28010.19</v>
      </c>
      <c r="Q32" s="63">
        <f t="shared" si="5"/>
        <v>-0.75762823129224099</v>
      </c>
      <c r="R32" s="64">
        <f t="shared" si="6"/>
        <v>36752.239999999991</v>
      </c>
      <c r="S32" s="65">
        <f t="shared" si="7"/>
        <v>7.1403815451329677E-2</v>
      </c>
      <c r="T32" s="2"/>
      <c r="U32" s="2"/>
      <c r="V32" s="2"/>
      <c r="W32" s="5"/>
      <c r="X32" s="6"/>
      <c r="Y32" s="66">
        <v>18</v>
      </c>
      <c r="Z32" s="50">
        <f t="shared" si="8"/>
        <v>78780.284285714282</v>
      </c>
      <c r="AA32" s="51">
        <f t="shared" si="9"/>
        <v>91910.331666666665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46161</v>
      </c>
      <c r="B33" s="58">
        <f t="shared" si="0"/>
        <v>19</v>
      </c>
      <c r="C33" s="40">
        <f t="shared" si="1"/>
        <v>3</v>
      </c>
      <c r="D33" s="59">
        <v>19394.91</v>
      </c>
      <c r="E33" s="42">
        <f t="shared" si="12"/>
        <v>534104.66</v>
      </c>
      <c r="F33" s="60">
        <v>22</v>
      </c>
      <c r="G33" s="61">
        <v>10</v>
      </c>
      <c r="H33" s="26">
        <f t="shared" si="13"/>
        <v>46161</v>
      </c>
      <c r="I33" s="58">
        <f t="shared" si="2"/>
        <v>19</v>
      </c>
      <c r="J33" s="40">
        <f t="shared" si="3"/>
        <v>3</v>
      </c>
      <c r="K33" s="59">
        <v>31757.119999999999</v>
      </c>
      <c r="L33" s="42">
        <f t="shared" si="14"/>
        <v>583219.11</v>
      </c>
      <c r="M33" s="60">
        <v>26</v>
      </c>
      <c r="N33" s="61">
        <v>18</v>
      </c>
      <c r="O33" s="5"/>
      <c r="P33" s="62">
        <f t="shared" si="4"/>
        <v>12362.21</v>
      </c>
      <c r="Q33" s="63">
        <f t="shared" si="5"/>
        <v>0.63739455351945429</v>
      </c>
      <c r="R33" s="64">
        <f t="shared" si="6"/>
        <v>49114.449999999953</v>
      </c>
      <c r="S33" s="65">
        <f t="shared" si="7"/>
        <v>9.1956602662856213E-2</v>
      </c>
      <c r="T33" s="2"/>
      <c r="U33" s="2"/>
      <c r="V33" s="2"/>
      <c r="W33" s="5"/>
      <c r="X33" s="6"/>
      <c r="Y33" s="66">
        <v>19</v>
      </c>
      <c r="Z33" s="50">
        <f t="shared" si="8"/>
        <v>22431.504230769231</v>
      </c>
      <c r="AA33" s="51">
        <f t="shared" si="9"/>
        <v>32401.061666666665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46162</v>
      </c>
      <c r="B34" s="58">
        <f t="shared" si="0"/>
        <v>20</v>
      </c>
      <c r="C34" s="40">
        <f t="shared" si="1"/>
        <v>4</v>
      </c>
      <c r="D34" s="59">
        <v>26487.08</v>
      </c>
      <c r="E34" s="42">
        <f t="shared" si="12"/>
        <v>560591.74</v>
      </c>
      <c r="F34" s="60">
        <v>25</v>
      </c>
      <c r="G34" s="61">
        <v>15</v>
      </c>
      <c r="H34" s="26">
        <f t="shared" si="13"/>
        <v>46162</v>
      </c>
      <c r="I34" s="58">
        <f t="shared" si="2"/>
        <v>20</v>
      </c>
      <c r="J34" s="40">
        <f t="shared" si="3"/>
        <v>4</v>
      </c>
      <c r="K34" s="59">
        <v>16577.59</v>
      </c>
      <c r="L34" s="42">
        <f t="shared" si="14"/>
        <v>599796.69999999995</v>
      </c>
      <c r="M34" s="60">
        <v>11</v>
      </c>
      <c r="N34" s="61">
        <v>11</v>
      </c>
      <c r="O34" s="5"/>
      <c r="P34" s="62">
        <f t="shared" si="4"/>
        <v>-9909.4900000000016</v>
      </c>
      <c r="Q34" s="63">
        <f t="shared" si="5"/>
        <v>-0.37412542265889637</v>
      </c>
      <c r="R34" s="64">
        <f t="shared" si="6"/>
        <v>39204.959999999963</v>
      </c>
      <c r="S34" s="65">
        <f t="shared" si="7"/>
        <v>6.993495837095276E-2</v>
      </c>
      <c r="T34" s="2"/>
      <c r="U34" s="2"/>
      <c r="V34" s="2"/>
      <c r="W34" s="5"/>
      <c r="X34" s="6"/>
      <c r="Y34" s="66">
        <v>20</v>
      </c>
      <c r="Z34" s="50">
        <f t="shared" si="8"/>
        <v>54526.972727272725</v>
      </c>
      <c r="AA34" s="51">
        <f t="shared" si="9"/>
        <v>54526.972727272725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46163</v>
      </c>
      <c r="B35" s="58">
        <f t="shared" si="0"/>
        <v>21</v>
      </c>
      <c r="C35" s="40">
        <f t="shared" si="1"/>
        <v>5</v>
      </c>
      <c r="D35" s="59">
        <v>19684.740000000002</v>
      </c>
      <c r="E35" s="42">
        <f t="shared" si="12"/>
        <v>580276.47999999998</v>
      </c>
      <c r="F35" s="60">
        <v>16</v>
      </c>
      <c r="G35" s="61">
        <v>13</v>
      </c>
      <c r="H35" s="26">
        <f t="shared" si="13"/>
        <v>46163</v>
      </c>
      <c r="I35" s="58">
        <f t="shared" si="2"/>
        <v>21</v>
      </c>
      <c r="J35" s="40">
        <f t="shared" si="3"/>
        <v>5</v>
      </c>
      <c r="K35" s="59">
        <v>24248.83</v>
      </c>
      <c r="L35" s="42">
        <f t="shared" si="14"/>
        <v>624045.52999999991</v>
      </c>
      <c r="M35" s="60">
        <v>23</v>
      </c>
      <c r="N35" s="61">
        <v>16</v>
      </c>
      <c r="O35" s="5"/>
      <c r="P35" s="62">
        <f t="shared" si="4"/>
        <v>4564.09</v>
      </c>
      <c r="Q35" s="63">
        <f t="shared" si="5"/>
        <v>0.23185929811620576</v>
      </c>
      <c r="R35" s="64">
        <f t="shared" si="6"/>
        <v>43769.04999999993</v>
      </c>
      <c r="S35" s="65">
        <f t="shared" si="7"/>
        <v>7.5427923599453717E-2</v>
      </c>
      <c r="T35" s="2"/>
      <c r="U35" s="2"/>
      <c r="V35" s="2"/>
      <c r="W35" s="5"/>
      <c r="X35" s="6"/>
      <c r="Y35" s="66">
        <v>21</v>
      </c>
      <c r="Z35" s="50">
        <f t="shared" si="8"/>
        <v>27132.414347826085</v>
      </c>
      <c r="AA35" s="51">
        <f t="shared" si="9"/>
        <v>39002.845624999994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46164</v>
      </c>
      <c r="B36" s="58">
        <f t="shared" si="0"/>
        <v>22</v>
      </c>
      <c r="C36" s="40">
        <f t="shared" si="1"/>
        <v>6</v>
      </c>
      <c r="D36" s="59">
        <v>9968.98</v>
      </c>
      <c r="E36" s="42">
        <f t="shared" si="12"/>
        <v>590245.46</v>
      </c>
      <c r="F36" s="60">
        <v>16</v>
      </c>
      <c r="G36" s="61">
        <v>10</v>
      </c>
      <c r="H36" s="26">
        <f t="shared" si="13"/>
        <v>46164</v>
      </c>
      <c r="I36" s="58">
        <f t="shared" si="2"/>
        <v>22</v>
      </c>
      <c r="J36" s="40">
        <f t="shared" si="3"/>
        <v>6</v>
      </c>
      <c r="K36" s="59">
        <v>17286.34</v>
      </c>
      <c r="L36" s="42">
        <f t="shared" si="14"/>
        <v>641331.86999999988</v>
      </c>
      <c r="M36" s="60">
        <v>18</v>
      </c>
      <c r="N36" s="61">
        <v>16</v>
      </c>
      <c r="O36" s="5"/>
      <c r="P36" s="62">
        <f t="shared" si="4"/>
        <v>7317.3600000000006</v>
      </c>
      <c r="Q36" s="63">
        <f t="shared" si="5"/>
        <v>0.73401290804074248</v>
      </c>
      <c r="R36" s="64">
        <f t="shared" si="6"/>
        <v>51086.409999999916</v>
      </c>
      <c r="S36" s="65">
        <f t="shared" si="7"/>
        <v>8.6551127390289251E-2</v>
      </c>
      <c r="T36" s="2"/>
      <c r="U36" s="2"/>
      <c r="V36" s="2"/>
      <c r="W36" s="5"/>
      <c r="X36" s="6"/>
      <c r="Y36" s="66">
        <v>22</v>
      </c>
      <c r="Z36" s="50">
        <f t="shared" si="8"/>
        <v>35629.548333333325</v>
      </c>
      <c r="AA36" s="51">
        <f t="shared" si="9"/>
        <v>40083.241874999992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46165</v>
      </c>
      <c r="B37" s="58">
        <f t="shared" si="0"/>
        <v>23</v>
      </c>
      <c r="C37" s="40">
        <f t="shared" si="1"/>
        <v>7</v>
      </c>
      <c r="D37" s="59">
        <v>26403.47</v>
      </c>
      <c r="E37" s="42">
        <f t="shared" si="12"/>
        <v>616648.92999999993</v>
      </c>
      <c r="F37" s="60">
        <v>32</v>
      </c>
      <c r="G37" s="61">
        <v>20</v>
      </c>
      <c r="H37" s="26">
        <f t="shared" si="13"/>
        <v>46165</v>
      </c>
      <c r="I37" s="58">
        <f t="shared" si="2"/>
        <v>23</v>
      </c>
      <c r="J37" s="40">
        <f t="shared" si="3"/>
        <v>7</v>
      </c>
      <c r="K37" s="59">
        <v>34539.08</v>
      </c>
      <c r="L37" s="42">
        <f t="shared" si="14"/>
        <v>675870.94999999984</v>
      </c>
      <c r="M37" s="60">
        <v>36</v>
      </c>
      <c r="N37" s="61">
        <v>23</v>
      </c>
      <c r="O37" s="5"/>
      <c r="P37" s="62">
        <f t="shared" si="4"/>
        <v>8135.6100000000006</v>
      </c>
      <c r="Q37" s="63">
        <f t="shared" si="5"/>
        <v>0.30812654548814988</v>
      </c>
      <c r="R37" s="64">
        <f t="shared" si="6"/>
        <v>59222.019999999902</v>
      </c>
      <c r="S37" s="65">
        <f t="shared" si="7"/>
        <v>9.6038470382166841E-2</v>
      </c>
      <c r="T37" s="2"/>
      <c r="U37" s="2"/>
      <c r="V37" s="2"/>
      <c r="W37" s="5"/>
      <c r="X37" s="6"/>
      <c r="Y37" s="66">
        <v>23</v>
      </c>
      <c r="Z37" s="50">
        <f t="shared" si="8"/>
        <v>18774.193055555552</v>
      </c>
      <c r="AA37" s="51">
        <f t="shared" si="9"/>
        <v>29385.693478260862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46166</v>
      </c>
      <c r="B38" s="58">
        <f t="shared" si="0"/>
        <v>24</v>
      </c>
      <c r="C38" s="40">
        <f t="shared" si="1"/>
        <v>1</v>
      </c>
      <c r="D38" s="59">
        <v>19332.080000000002</v>
      </c>
      <c r="E38" s="42">
        <f t="shared" si="12"/>
        <v>635981.00999999989</v>
      </c>
      <c r="F38" s="60">
        <v>25</v>
      </c>
      <c r="G38" s="61">
        <v>18</v>
      </c>
      <c r="H38" s="26">
        <f t="shared" si="13"/>
        <v>46166</v>
      </c>
      <c r="I38" s="58">
        <f t="shared" si="2"/>
        <v>24</v>
      </c>
      <c r="J38" s="40">
        <f t="shared" si="3"/>
        <v>1</v>
      </c>
      <c r="K38" s="59">
        <v>40045.96</v>
      </c>
      <c r="L38" s="42">
        <f t="shared" si="14"/>
        <v>715916.9099999998</v>
      </c>
      <c r="M38" s="60">
        <v>35</v>
      </c>
      <c r="N38" s="61">
        <v>23</v>
      </c>
      <c r="O38" s="5"/>
      <c r="P38" s="62">
        <f t="shared" si="4"/>
        <v>20713.879999999997</v>
      </c>
      <c r="Q38" s="63">
        <f t="shared" si="5"/>
        <v>1.0714770474775603</v>
      </c>
      <c r="R38" s="64">
        <f t="shared" si="6"/>
        <v>79935.899999999907</v>
      </c>
      <c r="S38" s="65">
        <f t="shared" si="7"/>
        <v>0.12568913024620021</v>
      </c>
      <c r="T38" s="2"/>
      <c r="U38" s="2"/>
      <c r="V38" s="2"/>
      <c r="W38" s="5"/>
      <c r="X38" s="6"/>
      <c r="Y38" s="66">
        <v>24</v>
      </c>
      <c r="Z38" s="50">
        <f t="shared" si="8"/>
        <v>20454.768857142852</v>
      </c>
      <c r="AA38" s="51">
        <f t="shared" si="9"/>
        <v>31126.822173913035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46167</v>
      </c>
      <c r="B39" s="58">
        <f t="shared" si="0"/>
        <v>25</v>
      </c>
      <c r="C39" s="40">
        <f t="shared" si="1"/>
        <v>2</v>
      </c>
      <c r="D39" s="59">
        <v>39384.93</v>
      </c>
      <c r="E39" s="42">
        <f t="shared" si="12"/>
        <v>675365.94</v>
      </c>
      <c r="F39" s="60">
        <v>40</v>
      </c>
      <c r="G39" s="61">
        <v>26</v>
      </c>
      <c r="H39" s="26">
        <f t="shared" si="13"/>
        <v>46167</v>
      </c>
      <c r="I39" s="58">
        <f t="shared" si="2"/>
        <v>25</v>
      </c>
      <c r="J39" s="40">
        <f t="shared" si="3"/>
        <v>2</v>
      </c>
      <c r="K39" s="59">
        <v>23651.32</v>
      </c>
      <c r="L39" s="42">
        <f t="shared" si="14"/>
        <v>739568.22999999975</v>
      </c>
      <c r="M39" s="60">
        <v>21</v>
      </c>
      <c r="N39" s="61">
        <v>16</v>
      </c>
      <c r="O39" s="5"/>
      <c r="P39" s="62">
        <f t="shared" si="4"/>
        <v>-15733.61</v>
      </c>
      <c r="Q39" s="63">
        <f t="shared" si="5"/>
        <v>-0.39948300022368965</v>
      </c>
      <c r="R39" s="64">
        <f t="shared" si="6"/>
        <v>64202.289999999804</v>
      </c>
      <c r="S39" s="65">
        <f t="shared" si="7"/>
        <v>9.5062966900581136E-2</v>
      </c>
      <c r="T39" s="2"/>
      <c r="U39" s="2"/>
      <c r="V39" s="2"/>
      <c r="W39" s="5"/>
      <c r="X39" s="6"/>
      <c r="Y39" s="66">
        <v>25</v>
      </c>
      <c r="Z39" s="50">
        <f t="shared" si="8"/>
        <v>35217.534761904753</v>
      </c>
      <c r="AA39" s="51">
        <f t="shared" si="9"/>
        <v>46223.014374999984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46168</v>
      </c>
      <c r="B40" s="58">
        <f t="shared" si="0"/>
        <v>26</v>
      </c>
      <c r="C40" s="40">
        <f t="shared" si="1"/>
        <v>3</v>
      </c>
      <c r="D40" s="59">
        <v>25692.76</v>
      </c>
      <c r="E40" s="42">
        <f t="shared" si="12"/>
        <v>701058.7</v>
      </c>
      <c r="F40" s="60">
        <v>27</v>
      </c>
      <c r="G40" s="61">
        <v>17</v>
      </c>
      <c r="H40" s="26">
        <f t="shared" si="13"/>
        <v>46168</v>
      </c>
      <c r="I40" s="58">
        <f t="shared" si="2"/>
        <v>26</v>
      </c>
      <c r="J40" s="40">
        <f t="shared" si="3"/>
        <v>3</v>
      </c>
      <c r="K40" s="59">
        <v>23571.81</v>
      </c>
      <c r="L40" s="42">
        <f t="shared" si="14"/>
        <v>763140.0399999998</v>
      </c>
      <c r="M40" s="60">
        <v>18</v>
      </c>
      <c r="N40" s="61">
        <v>13</v>
      </c>
      <c r="O40" s="5"/>
      <c r="P40" s="62">
        <f t="shared" si="4"/>
        <v>-2120.9499999999971</v>
      </c>
      <c r="Q40" s="63">
        <f t="shared" si="5"/>
        <v>-8.2550492823659116E-2</v>
      </c>
      <c r="R40" s="64">
        <f t="shared" si="6"/>
        <v>62081.339999999851</v>
      </c>
      <c r="S40" s="65">
        <f t="shared" si="7"/>
        <v>8.8553697429330613E-2</v>
      </c>
      <c r="T40" s="2"/>
      <c r="U40" s="2"/>
      <c r="V40" s="2"/>
      <c r="W40" s="5"/>
      <c r="X40" s="6"/>
      <c r="Y40" s="66">
        <v>26</v>
      </c>
      <c r="Z40" s="50">
        <f t="shared" si="8"/>
        <v>42396.668888888875</v>
      </c>
      <c r="AA40" s="51">
        <f t="shared" si="9"/>
        <v>58703.079999999987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46169</v>
      </c>
      <c r="B41" s="58">
        <f t="shared" si="0"/>
        <v>27</v>
      </c>
      <c r="C41" s="40">
        <f t="shared" si="1"/>
        <v>4</v>
      </c>
      <c r="D41" s="59">
        <v>17729.240000000002</v>
      </c>
      <c r="E41" s="42">
        <f t="shared" si="12"/>
        <v>718787.94</v>
      </c>
      <c r="F41" s="60">
        <v>16</v>
      </c>
      <c r="G41" s="61">
        <v>11</v>
      </c>
      <c r="H41" s="26">
        <f t="shared" si="13"/>
        <v>46169</v>
      </c>
      <c r="I41" s="58">
        <f t="shared" si="2"/>
        <v>27</v>
      </c>
      <c r="J41" s="40">
        <f t="shared" si="3"/>
        <v>4</v>
      </c>
      <c r="K41" s="59">
        <v>21851.82</v>
      </c>
      <c r="L41" s="42">
        <f t="shared" si="14"/>
        <v>784991.85999999975</v>
      </c>
      <c r="M41" s="60">
        <v>19</v>
      </c>
      <c r="N41" s="61">
        <v>14</v>
      </c>
      <c r="O41" s="5"/>
      <c r="P41" s="62">
        <f t="shared" si="4"/>
        <v>4122.5799999999981</v>
      </c>
      <c r="Q41" s="63">
        <f t="shared" si="5"/>
        <v>0.23252999000521157</v>
      </c>
      <c r="R41" s="64">
        <f t="shared" si="6"/>
        <v>66203.919999999809</v>
      </c>
      <c r="S41" s="65">
        <f t="shared" si="7"/>
        <v>9.2104939879764647E-2</v>
      </c>
      <c r="T41" s="2"/>
      <c r="U41" s="2"/>
      <c r="V41" s="2"/>
      <c r="W41" s="5"/>
      <c r="X41" s="6"/>
      <c r="Y41" s="66">
        <v>27</v>
      </c>
      <c r="Z41" s="50">
        <f t="shared" si="8"/>
        <v>41315.361052631568</v>
      </c>
      <c r="AA41" s="51">
        <f t="shared" si="9"/>
        <v>56070.847142857128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46170</v>
      </c>
      <c r="B42" s="58">
        <f t="shared" si="0"/>
        <v>28</v>
      </c>
      <c r="C42" s="40">
        <f t="shared" si="1"/>
        <v>5</v>
      </c>
      <c r="D42" s="59">
        <v>21715.77</v>
      </c>
      <c r="E42" s="42">
        <f t="shared" si="12"/>
        <v>740503.71</v>
      </c>
      <c r="F42" s="60">
        <v>20</v>
      </c>
      <c r="G42" s="61">
        <v>16</v>
      </c>
      <c r="H42" s="26">
        <f t="shared" si="13"/>
        <v>46170</v>
      </c>
      <c r="I42" s="58">
        <f t="shared" si="2"/>
        <v>28</v>
      </c>
      <c r="J42" s="40">
        <f t="shared" si="3"/>
        <v>5</v>
      </c>
      <c r="K42" s="59">
        <v>54008.7</v>
      </c>
      <c r="L42" s="42">
        <f t="shared" si="14"/>
        <v>839000.55999999971</v>
      </c>
      <c r="M42" s="60">
        <v>43</v>
      </c>
      <c r="N42" s="61">
        <v>17</v>
      </c>
      <c r="O42" s="5"/>
      <c r="P42" s="62">
        <f t="shared" si="4"/>
        <v>32292.929999999997</v>
      </c>
      <c r="Q42" s="63">
        <f t="shared" si="5"/>
        <v>1.4870727586449846</v>
      </c>
      <c r="R42" s="64">
        <f t="shared" si="6"/>
        <v>98496.849999999744</v>
      </c>
      <c r="S42" s="65">
        <f t="shared" si="7"/>
        <v>0.13301331062878763</v>
      </c>
      <c r="T42" s="2"/>
      <c r="U42" s="2"/>
      <c r="V42" s="2"/>
      <c r="W42" s="5"/>
      <c r="X42" s="6"/>
      <c r="Y42" s="66">
        <v>28</v>
      </c>
      <c r="Z42" s="50">
        <f t="shared" si="8"/>
        <v>19511.640930232552</v>
      </c>
      <c r="AA42" s="51">
        <f t="shared" si="9"/>
        <v>49352.974117647042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46171</v>
      </c>
      <c r="B43" s="58">
        <f t="shared" si="0"/>
        <v>29</v>
      </c>
      <c r="C43" s="40">
        <f t="shared" si="1"/>
        <v>6</v>
      </c>
      <c r="D43" s="59">
        <v>35815.870000000003</v>
      </c>
      <c r="E43" s="42">
        <f t="shared" si="12"/>
        <v>776319.58</v>
      </c>
      <c r="F43" s="60">
        <v>37</v>
      </c>
      <c r="G43" s="61">
        <v>21</v>
      </c>
      <c r="H43" s="26">
        <f t="shared" si="13"/>
        <v>46171</v>
      </c>
      <c r="I43" s="58">
        <f t="shared" si="2"/>
        <v>29</v>
      </c>
      <c r="J43" s="40">
        <f t="shared" si="3"/>
        <v>6</v>
      </c>
      <c r="K43" s="59">
        <v>20878.98</v>
      </c>
      <c r="L43" s="42">
        <f t="shared" si="14"/>
        <v>859879.53999999969</v>
      </c>
      <c r="M43" s="60">
        <v>21</v>
      </c>
      <c r="N43" s="61">
        <v>15</v>
      </c>
      <c r="O43" s="5"/>
      <c r="P43" s="62">
        <f t="shared" si="4"/>
        <v>-14936.890000000003</v>
      </c>
      <c r="Q43" s="63">
        <f t="shared" si="5"/>
        <v>-0.41704668907945008</v>
      </c>
      <c r="R43" s="64">
        <f t="shared" si="6"/>
        <v>83559.95999999973</v>
      </c>
      <c r="S43" s="65">
        <f t="shared" si="7"/>
        <v>0.1076360330883317</v>
      </c>
      <c r="T43" s="2"/>
      <c r="U43" s="2"/>
      <c r="V43" s="2"/>
      <c r="W43" s="5"/>
      <c r="X43" s="6"/>
      <c r="Y43" s="66">
        <v>29</v>
      </c>
      <c r="Z43" s="50">
        <f t="shared" si="8"/>
        <v>40946.644761904747</v>
      </c>
      <c r="AA43" s="51">
        <f t="shared" si="9"/>
        <v>57325.302666666648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46172</v>
      </c>
      <c r="B44" s="58">
        <f t="shared" si="0"/>
        <v>30</v>
      </c>
      <c r="C44" s="40">
        <f t="shared" si="1"/>
        <v>7</v>
      </c>
      <c r="D44" s="59">
        <v>36866.85</v>
      </c>
      <c r="E44" s="42">
        <f t="shared" si="12"/>
        <v>813186.42999999993</v>
      </c>
      <c r="F44" s="60">
        <v>40</v>
      </c>
      <c r="G44" s="61">
        <v>25</v>
      </c>
      <c r="H44" s="26">
        <f t="shared" si="13"/>
        <v>46172</v>
      </c>
      <c r="I44" s="58">
        <f t="shared" si="2"/>
        <v>30</v>
      </c>
      <c r="J44" s="40">
        <f t="shared" si="3"/>
        <v>7</v>
      </c>
      <c r="K44" s="59">
        <v>69306.740000000005</v>
      </c>
      <c r="L44" s="42">
        <f t="shared" si="14"/>
        <v>929186.27999999968</v>
      </c>
      <c r="M44" s="60">
        <v>49</v>
      </c>
      <c r="N44" s="61">
        <v>38</v>
      </c>
      <c r="O44" s="5"/>
      <c r="P44" s="62">
        <f t="shared" si="4"/>
        <v>32439.890000000007</v>
      </c>
      <c r="Q44" s="63">
        <f t="shared" si="5"/>
        <v>0.87992030781040431</v>
      </c>
      <c r="R44" s="64">
        <f t="shared" si="6"/>
        <v>115999.84999999974</v>
      </c>
      <c r="S44" s="65">
        <f t="shared" si="7"/>
        <v>0.14264853140749012</v>
      </c>
      <c r="T44" s="2"/>
      <c r="U44" s="2"/>
      <c r="V44" s="2"/>
      <c r="W44" s="5"/>
      <c r="X44" s="6"/>
      <c r="Y44" s="66">
        <v>30</v>
      </c>
      <c r="Z44" s="50">
        <f t="shared" si="8"/>
        <v>18962.985306122442</v>
      </c>
      <c r="AA44" s="51">
        <f t="shared" si="9"/>
        <v>24452.27052631578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46173</v>
      </c>
      <c r="B45" s="74">
        <f t="shared" si="0"/>
        <v>31</v>
      </c>
      <c r="C45" s="75">
        <f t="shared" si="1"/>
        <v>1</v>
      </c>
      <c r="D45" s="76">
        <v>75478.8</v>
      </c>
      <c r="E45" s="77">
        <f t="shared" si="12"/>
        <v>888665.23</v>
      </c>
      <c r="F45" s="78">
        <v>81</v>
      </c>
      <c r="G45" s="79">
        <v>41</v>
      </c>
      <c r="H45" s="26">
        <f t="shared" si="13"/>
        <v>46173</v>
      </c>
      <c r="I45" s="74">
        <f t="shared" si="2"/>
        <v>31</v>
      </c>
      <c r="J45" s="40">
        <f t="shared" si="3"/>
        <v>1</v>
      </c>
      <c r="K45" s="76">
        <v>60523.32</v>
      </c>
      <c r="L45" s="77">
        <f t="shared" si="14"/>
        <v>989709.59999999963</v>
      </c>
      <c r="M45" s="78">
        <v>49</v>
      </c>
      <c r="N45" s="79">
        <v>34</v>
      </c>
      <c r="O45" s="5"/>
      <c r="P45" s="80">
        <f t="shared" si="4"/>
        <v>-14955.480000000003</v>
      </c>
      <c r="Q45" s="81">
        <f t="shared" si="5"/>
        <v>-0.1981414648881541</v>
      </c>
      <c r="R45" s="82">
        <f t="shared" si="6"/>
        <v>101044.36999999965</v>
      </c>
      <c r="S45" s="83">
        <f t="shared" si="7"/>
        <v>0.1137035259047996</v>
      </c>
      <c r="T45" s="2"/>
      <c r="U45" s="2"/>
      <c r="V45" s="2"/>
      <c r="W45" s="5"/>
      <c r="X45" s="6"/>
      <c r="Y45" s="84">
        <v>31</v>
      </c>
      <c r="Z45" s="50">
        <f t="shared" si="8"/>
        <v>20198.155102040808</v>
      </c>
      <c r="AA45" s="51">
        <f t="shared" si="9"/>
        <v>29109.105882352931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948</v>
      </c>
      <c r="G46" s="89">
        <f t="shared" si="45"/>
        <v>603</v>
      </c>
      <c r="H46" s="2"/>
      <c r="I46" s="2"/>
      <c r="J46" s="2"/>
      <c r="K46" s="2"/>
      <c r="L46" s="2"/>
      <c r="M46" s="89">
        <f t="shared" ref="M46:N46" si="46">SUM(M15:M45)</f>
        <v>869</v>
      </c>
      <c r="N46" s="89">
        <f t="shared" si="46"/>
        <v>608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1627.8118421052625</v>
      </c>
      <c r="AA46" s="92">
        <f>IFERROR(M46/N46,0)</f>
        <v>1.4292763157894737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888665.23</v>
      </c>
      <c r="F47" s="97"/>
      <c r="G47" s="97"/>
      <c r="H47" s="98"/>
      <c r="I47" s="129" t="s">
        <v>40</v>
      </c>
      <c r="J47" s="130"/>
      <c r="K47" s="96">
        <f>SUM(K15:K45)</f>
        <v>989709.59999999963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1030851.6667999999</v>
      </c>
      <c r="F48" s="97"/>
      <c r="G48" s="97"/>
      <c r="H48" s="104"/>
      <c r="I48" s="129" t="s">
        <v>43</v>
      </c>
      <c r="J48" s="130"/>
      <c r="K48" s="103">
        <f>K47*1.16</f>
        <v>1148063.1359999995</v>
      </c>
      <c r="L48" s="105" t="s">
        <v>44</v>
      </c>
      <c r="M48" s="106"/>
      <c r="N48" s="106"/>
      <c r="O48" s="106"/>
      <c r="P48" s="106"/>
      <c r="Q48" s="106"/>
      <c r="R48" s="107">
        <f>K47-E47</f>
        <v>101044.36999999965</v>
      </c>
      <c r="S48" s="108">
        <f>IFERROR(+K47/E47-1,0)</f>
        <v>0.1137035259047996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55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-989709.59999999963</v>
      </c>
      <c r="BN49" s="113">
        <f t="shared" ref="BN49:BO49" si="48">+BN46-M46</f>
        <v>-869</v>
      </c>
      <c r="BO49" s="114">
        <f t="shared" si="48"/>
        <v>-608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47" priority="1" operator="lessThan">
      <formula>0</formula>
    </cfRule>
  </conditionalFormatting>
  <conditionalFormatting sqref="E47:G48 K47:K48">
    <cfRule type="cellIs" dxfId="46" priority="2" operator="lessThan">
      <formula>0</formula>
    </cfRule>
  </conditionalFormatting>
  <conditionalFormatting sqref="K15:L45">
    <cfRule type="cellIs" dxfId="45" priority="3" operator="lessThan">
      <formula>0</formula>
    </cfRule>
  </conditionalFormatting>
  <conditionalFormatting sqref="P15:S45">
    <cfRule type="cellIs" dxfId="44" priority="4" operator="lessThan">
      <formula>0</formula>
    </cfRule>
  </conditionalFormatting>
  <conditionalFormatting sqref="R48:S48">
    <cfRule type="cellIs" dxfId="43" priority="5" operator="lessThan">
      <formula>0</formula>
    </cfRule>
  </conditionalFormatting>
  <conditionalFormatting sqref="V8">
    <cfRule type="expression" dxfId="42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4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4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4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400-000003000000}">
          <x14:formula1>
            <xm:f>DTA!$I$4:$I$18</xm:f>
          </x14:formula1>
          <xm:sqref>D8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2025</v>
      </c>
      <c r="D1" s="3">
        <f>VLOOKUP(D3,DTA!$B$3:$C$15,2,FALSE)</f>
        <v>6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2025</v>
      </c>
      <c r="D3" s="11" t="s">
        <v>51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51</v>
      </c>
      <c r="S8" s="11">
        <v>1</v>
      </c>
      <c r="T8" s="2"/>
      <c r="U8" s="138"/>
      <c r="V8" s="16">
        <f>SUM(1240446.7+143872+49975)</f>
        <v>1434293.7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6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10</v>
      </c>
      <c r="C13" s="147"/>
      <c r="D13" s="147"/>
      <c r="E13" s="147"/>
      <c r="F13" s="147"/>
      <c r="G13" s="148"/>
      <c r="H13" s="5"/>
      <c r="I13" s="149" t="s">
        <v>38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1.4305441626077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45809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46174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45809</v>
      </c>
      <c r="B15" s="39">
        <f t="shared" ref="B15:B45" si="0">+DAY(A15)</f>
        <v>1</v>
      </c>
      <c r="C15" s="40">
        <f t="shared" ref="C15:C45" si="1">+WEEKDAY(A15)</f>
        <v>1</v>
      </c>
      <c r="D15" s="41">
        <v>60857.67</v>
      </c>
      <c r="E15" s="42">
        <f>D15</f>
        <v>60857.67</v>
      </c>
      <c r="F15" s="43">
        <v>71</v>
      </c>
      <c r="G15" s="44">
        <v>42</v>
      </c>
      <c r="H15" s="26">
        <f>H14</f>
        <v>46174</v>
      </c>
      <c r="I15" s="39">
        <f t="shared" ref="I15:I45" si="2">+DAY(H15)</f>
        <v>1</v>
      </c>
      <c r="J15" s="40">
        <f t="shared" ref="J15:J45" si="3">+WEEKDAY(H15)</f>
        <v>2</v>
      </c>
      <c r="K15" s="41">
        <v>34968.5</v>
      </c>
      <c r="L15" s="42">
        <f>K15</f>
        <v>34968.5</v>
      </c>
      <c r="M15" s="43">
        <v>27</v>
      </c>
      <c r="N15" s="44">
        <v>16</v>
      </c>
      <c r="O15" s="5"/>
      <c r="P15" s="45">
        <f t="shared" ref="P15:P45" si="4">IF(NOT(ISBLANK(K15)),SUM(K15-D15),"")</f>
        <v>-25889.17</v>
      </c>
      <c r="Q15" s="46">
        <f t="shared" ref="Q15:Q45" si="5">IF(NOT(ISBLANK(K15)),IFERROR(((K15/D15)-1)," ")," ")</f>
        <v>-0.42540521186565305</v>
      </c>
      <c r="R15" s="47">
        <f t="shared" ref="R15:R45" si="6">IF(NOT(ISBLANK(K15)),SUM(L15-E15),"")</f>
        <v>-25889.17</v>
      </c>
      <c r="S15" s="48">
        <f t="shared" ref="S15:S45" si="7">IFERROR(((L15/E15)-1),"")</f>
        <v>-0.42540521186565305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1295.1296296296296</v>
      </c>
      <c r="AA15" s="51">
        <f t="shared" ref="AA15:AA45" si="9">IFERROR((L15/N15)," ")</f>
        <v>2185.53125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45810</v>
      </c>
      <c r="B16" s="58">
        <f t="shared" si="0"/>
        <v>2</v>
      </c>
      <c r="C16" s="40">
        <f t="shared" si="1"/>
        <v>2</v>
      </c>
      <c r="D16" s="59">
        <v>27726.81</v>
      </c>
      <c r="E16" s="42">
        <f t="shared" ref="E16:E45" si="12">IF(NOT(ISBLANK(D16)),SUM(E15+D16),"")</f>
        <v>88584.48</v>
      </c>
      <c r="F16" s="60">
        <v>32</v>
      </c>
      <c r="G16" s="61">
        <v>17</v>
      </c>
      <c r="H16" s="26">
        <f t="shared" ref="H16:H45" si="13">H15+1</f>
        <v>46175</v>
      </c>
      <c r="I16" s="58">
        <f t="shared" si="2"/>
        <v>2</v>
      </c>
      <c r="J16" s="40">
        <f t="shared" si="3"/>
        <v>3</v>
      </c>
      <c r="K16" s="59">
        <v>50071.74</v>
      </c>
      <c r="L16" s="42">
        <f t="shared" ref="L16:L45" si="14">IF(NOT(ISBLANK(K16)),SUM(L15+K16),"")</f>
        <v>85040.239999999991</v>
      </c>
      <c r="M16" s="60">
        <v>44</v>
      </c>
      <c r="N16" s="61">
        <v>24</v>
      </c>
      <c r="O16" s="5"/>
      <c r="P16" s="62">
        <f t="shared" si="4"/>
        <v>22344.929999999997</v>
      </c>
      <c r="Q16" s="63">
        <f t="shared" si="5"/>
        <v>0.80589617052953422</v>
      </c>
      <c r="R16" s="64">
        <f t="shared" si="6"/>
        <v>-3544.2400000000052</v>
      </c>
      <c r="S16" s="65">
        <f t="shared" si="7"/>
        <v>-4.0009717277789569E-2</v>
      </c>
      <c r="T16" s="2"/>
      <c r="U16" s="2"/>
      <c r="V16" s="2"/>
      <c r="W16" s="5"/>
      <c r="X16" s="6"/>
      <c r="Y16" s="66">
        <v>2</v>
      </c>
      <c r="Z16" s="50">
        <f t="shared" si="8"/>
        <v>1932.7327272727271</v>
      </c>
      <c r="AA16" s="51">
        <f t="shared" si="9"/>
        <v>3543.3433333333328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45811</v>
      </c>
      <c r="B17" s="58">
        <f t="shared" si="0"/>
        <v>3</v>
      </c>
      <c r="C17" s="40">
        <f t="shared" si="1"/>
        <v>3</v>
      </c>
      <c r="D17" s="59">
        <v>18595.080000000002</v>
      </c>
      <c r="E17" s="42">
        <f t="shared" si="12"/>
        <v>107179.56</v>
      </c>
      <c r="F17" s="60">
        <v>22</v>
      </c>
      <c r="G17" s="61">
        <v>14</v>
      </c>
      <c r="H17" s="26">
        <f t="shared" si="13"/>
        <v>46176</v>
      </c>
      <c r="I17" s="58">
        <f t="shared" si="2"/>
        <v>3</v>
      </c>
      <c r="J17" s="40">
        <f t="shared" si="3"/>
        <v>4</v>
      </c>
      <c r="K17" s="59">
        <v>52653.21</v>
      </c>
      <c r="L17" s="42">
        <f t="shared" si="14"/>
        <v>137693.44999999998</v>
      </c>
      <c r="M17" s="60">
        <v>34</v>
      </c>
      <c r="N17" s="61">
        <v>31</v>
      </c>
      <c r="O17" s="5"/>
      <c r="P17" s="62">
        <f t="shared" si="4"/>
        <v>34058.129999999997</v>
      </c>
      <c r="Q17" s="63">
        <f t="shared" si="5"/>
        <v>1.8315667370078534</v>
      </c>
      <c r="R17" s="64">
        <f t="shared" si="6"/>
        <v>30513.889999999985</v>
      </c>
      <c r="S17" s="65">
        <f t="shared" si="7"/>
        <v>0.28469878025250317</v>
      </c>
      <c r="T17" s="2"/>
      <c r="U17" s="2"/>
      <c r="V17" s="2"/>
      <c r="W17" s="5"/>
      <c r="X17" s="6"/>
      <c r="Y17" s="66">
        <v>3</v>
      </c>
      <c r="Z17" s="50">
        <f t="shared" si="8"/>
        <v>4049.8073529411758</v>
      </c>
      <c r="AA17" s="51">
        <f t="shared" si="9"/>
        <v>4441.7241935483862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45812</v>
      </c>
      <c r="B18" s="58">
        <f t="shared" si="0"/>
        <v>4</v>
      </c>
      <c r="C18" s="40">
        <f t="shared" si="1"/>
        <v>4</v>
      </c>
      <c r="D18" s="59">
        <v>13128.2</v>
      </c>
      <c r="E18" s="42">
        <f t="shared" si="12"/>
        <v>120307.76</v>
      </c>
      <c r="F18" s="60">
        <v>14</v>
      </c>
      <c r="G18" s="61">
        <v>12</v>
      </c>
      <c r="H18" s="26">
        <f t="shared" si="13"/>
        <v>46177</v>
      </c>
      <c r="I18" s="58">
        <f t="shared" si="2"/>
        <v>4</v>
      </c>
      <c r="J18" s="40">
        <f t="shared" si="3"/>
        <v>5</v>
      </c>
      <c r="K18" s="59">
        <v>37252.78</v>
      </c>
      <c r="L18" s="42">
        <f t="shared" si="14"/>
        <v>174946.22999999998</v>
      </c>
      <c r="M18" s="60">
        <v>28</v>
      </c>
      <c r="N18" s="61">
        <v>23</v>
      </c>
      <c r="O18" s="5"/>
      <c r="P18" s="62">
        <f t="shared" si="4"/>
        <v>24124.579999999998</v>
      </c>
      <c r="Q18" s="63">
        <f t="shared" si="5"/>
        <v>1.8376152100059411</v>
      </c>
      <c r="R18" s="64">
        <f t="shared" si="6"/>
        <v>54638.469999999987</v>
      </c>
      <c r="S18" s="65">
        <f t="shared" si="7"/>
        <v>0.45415582502741292</v>
      </c>
      <c r="T18" s="2"/>
      <c r="U18" s="2"/>
      <c r="V18" s="2"/>
      <c r="W18" s="5"/>
      <c r="X18" s="6"/>
      <c r="Y18" s="66">
        <v>4</v>
      </c>
      <c r="Z18" s="50">
        <f t="shared" si="8"/>
        <v>6248.0796428571421</v>
      </c>
      <c r="AA18" s="51">
        <f t="shared" si="9"/>
        <v>7606.3578260869554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45813</v>
      </c>
      <c r="B19" s="58">
        <f t="shared" si="0"/>
        <v>5</v>
      </c>
      <c r="C19" s="40">
        <f t="shared" si="1"/>
        <v>5</v>
      </c>
      <c r="D19" s="59">
        <v>28812.68</v>
      </c>
      <c r="E19" s="42">
        <f t="shared" si="12"/>
        <v>149120.44</v>
      </c>
      <c r="F19" s="60">
        <v>35</v>
      </c>
      <c r="G19" s="61">
        <v>22</v>
      </c>
      <c r="H19" s="26">
        <f t="shared" si="13"/>
        <v>46178</v>
      </c>
      <c r="I19" s="58">
        <f t="shared" si="2"/>
        <v>5</v>
      </c>
      <c r="J19" s="40">
        <f t="shared" si="3"/>
        <v>6</v>
      </c>
      <c r="K19" s="59">
        <v>68205.31</v>
      </c>
      <c r="L19" s="42">
        <f t="shared" si="14"/>
        <v>243151.53999999998</v>
      </c>
      <c r="M19" s="60">
        <v>54</v>
      </c>
      <c r="N19" s="61">
        <v>42</v>
      </c>
      <c r="O19" s="5"/>
      <c r="P19" s="62">
        <f t="shared" si="4"/>
        <v>39392.629999999997</v>
      </c>
      <c r="Q19" s="63">
        <f t="shared" si="5"/>
        <v>1.3671977060099927</v>
      </c>
      <c r="R19" s="64">
        <f t="shared" si="6"/>
        <v>94031.099999999977</v>
      </c>
      <c r="S19" s="65">
        <f t="shared" si="7"/>
        <v>0.63057150314202381</v>
      </c>
      <c r="T19" s="2"/>
      <c r="U19" s="2"/>
      <c r="V19" s="2"/>
      <c r="W19" s="5"/>
      <c r="X19" s="6"/>
      <c r="Y19" s="66">
        <v>5</v>
      </c>
      <c r="Z19" s="50">
        <f t="shared" si="8"/>
        <v>4502.8062962962958</v>
      </c>
      <c r="AA19" s="51">
        <f t="shared" si="9"/>
        <v>5789.3223809523806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45814</v>
      </c>
      <c r="B20" s="58">
        <f t="shared" si="0"/>
        <v>6</v>
      </c>
      <c r="C20" s="40">
        <f t="shared" si="1"/>
        <v>6</v>
      </c>
      <c r="D20" s="59">
        <v>41773.96</v>
      </c>
      <c r="E20" s="42">
        <f t="shared" si="12"/>
        <v>190894.4</v>
      </c>
      <c r="F20" s="60">
        <v>44</v>
      </c>
      <c r="G20" s="61">
        <v>26</v>
      </c>
      <c r="H20" s="26">
        <f t="shared" si="13"/>
        <v>46179</v>
      </c>
      <c r="I20" s="58">
        <f t="shared" si="2"/>
        <v>6</v>
      </c>
      <c r="J20" s="40">
        <f t="shared" si="3"/>
        <v>7</v>
      </c>
      <c r="K20" s="59">
        <v>112796.26</v>
      </c>
      <c r="L20" s="42">
        <f t="shared" si="14"/>
        <v>355947.8</v>
      </c>
      <c r="M20" s="60">
        <v>85</v>
      </c>
      <c r="N20" s="61">
        <v>52</v>
      </c>
      <c r="O20" s="5"/>
      <c r="P20" s="62">
        <f t="shared" si="4"/>
        <v>71022.299999999988</v>
      </c>
      <c r="Q20" s="63">
        <f t="shared" si="5"/>
        <v>1.700157227133841</v>
      </c>
      <c r="R20" s="64">
        <f t="shared" si="6"/>
        <v>165053.4</v>
      </c>
      <c r="S20" s="65">
        <f t="shared" si="7"/>
        <v>0.86463196405971043</v>
      </c>
      <c r="T20" s="2"/>
      <c r="U20" s="2"/>
      <c r="V20" s="2"/>
      <c r="W20" s="5"/>
      <c r="X20" s="6"/>
      <c r="Y20" s="66">
        <v>6</v>
      </c>
      <c r="Z20" s="50">
        <f t="shared" si="8"/>
        <v>4187.6211764705877</v>
      </c>
      <c r="AA20" s="51">
        <f t="shared" si="9"/>
        <v>6845.15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45815</v>
      </c>
      <c r="B21" s="58">
        <f t="shared" si="0"/>
        <v>7</v>
      </c>
      <c r="C21" s="40">
        <f t="shared" si="1"/>
        <v>7</v>
      </c>
      <c r="D21" s="59">
        <v>68790.429999999993</v>
      </c>
      <c r="E21" s="42">
        <f t="shared" si="12"/>
        <v>259684.83</v>
      </c>
      <c r="F21" s="60">
        <v>71</v>
      </c>
      <c r="G21" s="61">
        <v>49</v>
      </c>
      <c r="H21" s="26">
        <f t="shared" si="13"/>
        <v>46180</v>
      </c>
      <c r="I21" s="58">
        <f t="shared" si="2"/>
        <v>7</v>
      </c>
      <c r="J21" s="40">
        <f t="shared" si="3"/>
        <v>1</v>
      </c>
      <c r="K21" s="59">
        <v>122753.4</v>
      </c>
      <c r="L21" s="42">
        <f t="shared" si="14"/>
        <v>478701.19999999995</v>
      </c>
      <c r="M21" s="60">
        <v>79</v>
      </c>
      <c r="N21" s="61">
        <v>61</v>
      </c>
      <c r="O21" s="5"/>
      <c r="P21" s="62">
        <f t="shared" si="4"/>
        <v>53962.97</v>
      </c>
      <c r="Q21" s="63">
        <f t="shared" si="5"/>
        <v>0.78445461091026769</v>
      </c>
      <c r="R21" s="64">
        <f t="shared" si="6"/>
        <v>219016.36999999997</v>
      </c>
      <c r="S21" s="65">
        <f t="shared" si="7"/>
        <v>0.84339300836325326</v>
      </c>
      <c r="T21" s="2"/>
      <c r="U21" s="2"/>
      <c r="V21" s="2"/>
      <c r="W21" s="5"/>
      <c r="X21" s="6"/>
      <c r="Y21" s="66">
        <v>7</v>
      </c>
      <c r="Z21" s="50">
        <f t="shared" si="8"/>
        <v>6059.5088607594935</v>
      </c>
      <c r="AA21" s="51">
        <f t="shared" si="9"/>
        <v>7847.5606557377041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45816</v>
      </c>
      <c r="B22" s="58">
        <f t="shared" si="0"/>
        <v>8</v>
      </c>
      <c r="C22" s="40">
        <f t="shared" si="1"/>
        <v>1</v>
      </c>
      <c r="D22" s="59">
        <v>60807.95</v>
      </c>
      <c r="E22" s="42">
        <f t="shared" si="12"/>
        <v>320492.77999999997</v>
      </c>
      <c r="F22" s="60">
        <v>73</v>
      </c>
      <c r="G22" s="61">
        <v>45</v>
      </c>
      <c r="H22" s="26">
        <f t="shared" si="13"/>
        <v>46181</v>
      </c>
      <c r="I22" s="58">
        <f t="shared" si="2"/>
        <v>8</v>
      </c>
      <c r="J22" s="40">
        <f t="shared" si="3"/>
        <v>2</v>
      </c>
      <c r="K22" s="59">
        <v>72289.899999999994</v>
      </c>
      <c r="L22" s="42">
        <f t="shared" si="14"/>
        <v>550991.1</v>
      </c>
      <c r="M22" s="60">
        <v>52</v>
      </c>
      <c r="N22" s="61">
        <v>34</v>
      </c>
      <c r="O22" s="5"/>
      <c r="P22" s="62">
        <f t="shared" si="4"/>
        <v>11481.949999999997</v>
      </c>
      <c r="Q22" s="63">
        <f t="shared" si="5"/>
        <v>0.18882317197011234</v>
      </c>
      <c r="R22" s="64">
        <f t="shared" si="6"/>
        <v>230498.32</v>
      </c>
      <c r="S22" s="65">
        <f t="shared" si="7"/>
        <v>0.7191997273698334</v>
      </c>
      <c r="T22" s="2"/>
      <c r="U22" s="2"/>
      <c r="V22" s="2"/>
      <c r="W22" s="5"/>
      <c r="X22" s="6"/>
      <c r="Y22" s="66">
        <v>8</v>
      </c>
      <c r="Z22" s="50">
        <f t="shared" si="8"/>
        <v>10595.982692307693</v>
      </c>
      <c r="AA22" s="51">
        <f t="shared" si="9"/>
        <v>16205.620588235293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45817</v>
      </c>
      <c r="B23" s="58">
        <f t="shared" si="0"/>
        <v>9</v>
      </c>
      <c r="C23" s="40">
        <f t="shared" si="1"/>
        <v>2</v>
      </c>
      <c r="D23" s="59">
        <v>18402.34</v>
      </c>
      <c r="E23" s="42">
        <f t="shared" si="12"/>
        <v>338895.12</v>
      </c>
      <c r="F23" s="60">
        <v>16</v>
      </c>
      <c r="G23" s="61">
        <v>12</v>
      </c>
      <c r="H23" s="26">
        <f t="shared" si="13"/>
        <v>46182</v>
      </c>
      <c r="I23" s="58">
        <f t="shared" si="2"/>
        <v>9</v>
      </c>
      <c r="J23" s="40">
        <f t="shared" si="3"/>
        <v>3</v>
      </c>
      <c r="K23" s="59">
        <v>87061.88</v>
      </c>
      <c r="L23" s="42">
        <f t="shared" si="14"/>
        <v>638052.98</v>
      </c>
      <c r="M23" s="60">
        <v>62</v>
      </c>
      <c r="N23" s="61">
        <v>40</v>
      </c>
      <c r="O23" s="5"/>
      <c r="P23" s="62">
        <f t="shared" si="4"/>
        <v>68659.540000000008</v>
      </c>
      <c r="Q23" s="63">
        <f t="shared" si="5"/>
        <v>3.7310222504311952</v>
      </c>
      <c r="R23" s="64">
        <f t="shared" si="6"/>
        <v>299157.86</v>
      </c>
      <c r="S23" s="65">
        <f t="shared" si="7"/>
        <v>0.88274466743575419</v>
      </c>
      <c r="T23" s="2"/>
      <c r="U23" s="2"/>
      <c r="V23" s="2"/>
      <c r="W23" s="5"/>
      <c r="X23" s="6"/>
      <c r="Y23" s="66">
        <v>9</v>
      </c>
      <c r="Z23" s="50">
        <f t="shared" si="8"/>
        <v>10291.177096774194</v>
      </c>
      <c r="AA23" s="51">
        <f t="shared" si="9"/>
        <v>15951.324499999999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45818</v>
      </c>
      <c r="B24" s="58">
        <f t="shared" si="0"/>
        <v>10</v>
      </c>
      <c r="C24" s="40">
        <f t="shared" si="1"/>
        <v>3</v>
      </c>
      <c r="D24" s="59">
        <v>30546.99</v>
      </c>
      <c r="E24" s="42">
        <f t="shared" si="12"/>
        <v>369442.11</v>
      </c>
      <c r="F24" s="60">
        <v>34</v>
      </c>
      <c r="G24" s="61">
        <v>19</v>
      </c>
      <c r="H24" s="26">
        <f t="shared" si="13"/>
        <v>46183</v>
      </c>
      <c r="I24" s="58">
        <f t="shared" si="2"/>
        <v>10</v>
      </c>
      <c r="J24" s="40">
        <f t="shared" si="3"/>
        <v>4</v>
      </c>
      <c r="K24" s="59">
        <v>230658.05</v>
      </c>
      <c r="L24" s="42">
        <f t="shared" si="14"/>
        <v>868711.03</v>
      </c>
      <c r="M24" s="60">
        <v>133</v>
      </c>
      <c r="N24" s="61">
        <v>99</v>
      </c>
      <c r="O24" s="5"/>
      <c r="P24" s="62">
        <f t="shared" si="4"/>
        <v>200111.06</v>
      </c>
      <c r="Q24" s="63">
        <f t="shared" si="5"/>
        <v>6.5509256394819904</v>
      </c>
      <c r="R24" s="64">
        <f t="shared" si="6"/>
        <v>499268.92000000004</v>
      </c>
      <c r="S24" s="65">
        <f t="shared" si="7"/>
        <v>1.3514131347939737</v>
      </c>
      <c r="T24" s="2"/>
      <c r="U24" s="2"/>
      <c r="V24" s="2"/>
      <c r="W24" s="5"/>
      <c r="X24" s="6"/>
      <c r="Y24" s="66">
        <v>10</v>
      </c>
      <c r="Z24" s="50">
        <f t="shared" si="8"/>
        <v>6531.6618796992479</v>
      </c>
      <c r="AA24" s="51">
        <f t="shared" si="9"/>
        <v>8774.8588888888899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45819</v>
      </c>
      <c r="B25" s="58">
        <f t="shared" si="0"/>
        <v>11</v>
      </c>
      <c r="C25" s="40">
        <f t="shared" si="1"/>
        <v>4</v>
      </c>
      <c r="D25" s="59">
        <v>20176.98</v>
      </c>
      <c r="E25" s="42">
        <f t="shared" si="12"/>
        <v>389619.08999999997</v>
      </c>
      <c r="F25" s="60">
        <v>27</v>
      </c>
      <c r="G25" s="61">
        <v>21</v>
      </c>
      <c r="H25" s="26">
        <f t="shared" si="13"/>
        <v>46184</v>
      </c>
      <c r="I25" s="58">
        <f t="shared" si="2"/>
        <v>11</v>
      </c>
      <c r="J25" s="40">
        <f t="shared" si="3"/>
        <v>5</v>
      </c>
      <c r="K25" s="59">
        <v>75854.95</v>
      </c>
      <c r="L25" s="42">
        <f t="shared" si="14"/>
        <v>944565.98</v>
      </c>
      <c r="M25" s="60">
        <v>49</v>
      </c>
      <c r="N25" s="61">
        <v>43</v>
      </c>
      <c r="O25" s="5"/>
      <c r="P25" s="62">
        <f t="shared" si="4"/>
        <v>55677.97</v>
      </c>
      <c r="Q25" s="63">
        <f t="shared" si="5"/>
        <v>2.7594798626950117</v>
      </c>
      <c r="R25" s="64">
        <f t="shared" si="6"/>
        <v>554946.89</v>
      </c>
      <c r="S25" s="65">
        <f t="shared" si="7"/>
        <v>1.4243318775781755</v>
      </c>
      <c r="T25" s="2"/>
      <c r="U25" s="2"/>
      <c r="V25" s="2"/>
      <c r="W25" s="5"/>
      <c r="X25" s="6"/>
      <c r="Y25" s="66">
        <v>11</v>
      </c>
      <c r="Z25" s="50">
        <f t="shared" si="8"/>
        <v>19276.856734693876</v>
      </c>
      <c r="AA25" s="51">
        <f t="shared" si="9"/>
        <v>21966.650697674417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45820</v>
      </c>
      <c r="B26" s="58">
        <f t="shared" si="0"/>
        <v>12</v>
      </c>
      <c r="C26" s="40">
        <f t="shared" si="1"/>
        <v>5</v>
      </c>
      <c r="D26" s="59">
        <v>37245.120000000003</v>
      </c>
      <c r="E26" s="42">
        <f t="shared" si="12"/>
        <v>426864.20999999996</v>
      </c>
      <c r="F26" s="60">
        <v>46</v>
      </c>
      <c r="G26" s="61">
        <v>28</v>
      </c>
      <c r="H26" s="26">
        <f t="shared" si="13"/>
        <v>46185</v>
      </c>
      <c r="I26" s="58">
        <f t="shared" si="2"/>
        <v>12</v>
      </c>
      <c r="J26" s="40">
        <f t="shared" si="3"/>
        <v>6</v>
      </c>
      <c r="K26" s="59">
        <v>28889.35</v>
      </c>
      <c r="L26" s="42">
        <f t="shared" si="14"/>
        <v>973455.33</v>
      </c>
      <c r="M26" s="60">
        <v>22</v>
      </c>
      <c r="N26" s="61">
        <v>20</v>
      </c>
      <c r="O26" s="5"/>
      <c r="P26" s="62">
        <f t="shared" si="4"/>
        <v>-8355.7700000000041</v>
      </c>
      <c r="Q26" s="63">
        <f t="shared" si="5"/>
        <v>-0.22434536390270732</v>
      </c>
      <c r="R26" s="64">
        <f t="shared" si="6"/>
        <v>546591.12</v>
      </c>
      <c r="S26" s="65">
        <f t="shared" si="7"/>
        <v>1.2804800852242919</v>
      </c>
      <c r="T26" s="2"/>
      <c r="U26" s="2"/>
      <c r="V26" s="2"/>
      <c r="W26" s="5"/>
      <c r="X26" s="6"/>
      <c r="Y26" s="66">
        <v>12</v>
      </c>
      <c r="Z26" s="50">
        <f t="shared" si="8"/>
        <v>44247.969545454544</v>
      </c>
      <c r="AA26" s="51">
        <f t="shared" si="9"/>
        <v>48672.766499999998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45821</v>
      </c>
      <c r="B27" s="58">
        <f t="shared" si="0"/>
        <v>13</v>
      </c>
      <c r="C27" s="40">
        <f t="shared" si="1"/>
        <v>6</v>
      </c>
      <c r="D27" s="59">
        <v>37391.919999999998</v>
      </c>
      <c r="E27" s="42">
        <f t="shared" si="12"/>
        <v>464256.12999999995</v>
      </c>
      <c r="F27" s="60">
        <v>45</v>
      </c>
      <c r="G27" s="61">
        <v>32</v>
      </c>
      <c r="H27" s="26">
        <f t="shared" si="13"/>
        <v>46186</v>
      </c>
      <c r="I27" s="58">
        <f t="shared" si="2"/>
        <v>13</v>
      </c>
      <c r="J27" s="40">
        <f t="shared" si="3"/>
        <v>7</v>
      </c>
      <c r="K27" s="59">
        <v>44990.55</v>
      </c>
      <c r="L27" s="42">
        <f t="shared" si="14"/>
        <v>1018445.88</v>
      </c>
      <c r="M27" s="60">
        <v>44</v>
      </c>
      <c r="N27" s="61">
        <v>39</v>
      </c>
      <c r="O27" s="5"/>
      <c r="P27" s="62">
        <f t="shared" si="4"/>
        <v>7598.6300000000047</v>
      </c>
      <c r="Q27" s="63">
        <f t="shared" si="5"/>
        <v>0.20321582844635966</v>
      </c>
      <c r="R27" s="64">
        <f t="shared" si="6"/>
        <v>554189.75</v>
      </c>
      <c r="S27" s="65">
        <f t="shared" si="7"/>
        <v>1.1937155250917209</v>
      </c>
      <c r="T27" s="2"/>
      <c r="U27" s="2"/>
      <c r="V27" s="2"/>
      <c r="W27" s="5"/>
      <c r="X27" s="6"/>
      <c r="Y27" s="66">
        <v>13</v>
      </c>
      <c r="Z27" s="50">
        <f t="shared" si="8"/>
        <v>23146.497272727273</v>
      </c>
      <c r="AA27" s="51">
        <f t="shared" si="9"/>
        <v>26113.996923076924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45822</v>
      </c>
      <c r="B28" s="58">
        <f t="shared" si="0"/>
        <v>14</v>
      </c>
      <c r="C28" s="40">
        <f t="shared" si="1"/>
        <v>7</v>
      </c>
      <c r="D28" s="59">
        <v>102060.45</v>
      </c>
      <c r="E28" s="42">
        <f t="shared" si="12"/>
        <v>566316.57999999996</v>
      </c>
      <c r="F28" s="60">
        <v>107</v>
      </c>
      <c r="G28" s="61">
        <v>61</v>
      </c>
      <c r="H28" s="26">
        <f t="shared" si="13"/>
        <v>46187</v>
      </c>
      <c r="I28" s="58">
        <f t="shared" si="2"/>
        <v>14</v>
      </c>
      <c r="J28" s="40">
        <f t="shared" si="3"/>
        <v>1</v>
      </c>
      <c r="K28" s="59">
        <v>51080.639999999999</v>
      </c>
      <c r="L28" s="42">
        <f t="shared" si="14"/>
        <v>1069526.52</v>
      </c>
      <c r="M28" s="60">
        <v>41</v>
      </c>
      <c r="N28" s="61">
        <v>34</v>
      </c>
      <c r="O28" s="5"/>
      <c r="P28" s="62">
        <f t="shared" si="4"/>
        <v>-50979.81</v>
      </c>
      <c r="Q28" s="63">
        <f t="shared" si="5"/>
        <v>-0.49950602804514388</v>
      </c>
      <c r="R28" s="64">
        <f t="shared" si="6"/>
        <v>503209.94000000006</v>
      </c>
      <c r="S28" s="65">
        <f t="shared" si="7"/>
        <v>0.88856649755866246</v>
      </c>
      <c r="T28" s="2"/>
      <c r="U28" s="2"/>
      <c r="V28" s="2"/>
      <c r="W28" s="5"/>
      <c r="X28" s="6"/>
      <c r="Y28" s="66">
        <v>14</v>
      </c>
      <c r="Z28" s="50">
        <f t="shared" si="8"/>
        <v>26086.01268292683</v>
      </c>
      <c r="AA28" s="51">
        <f t="shared" si="9"/>
        <v>31456.662352941177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45823</v>
      </c>
      <c r="B29" s="58">
        <f t="shared" si="0"/>
        <v>15</v>
      </c>
      <c r="C29" s="40">
        <f t="shared" si="1"/>
        <v>1</v>
      </c>
      <c r="D29" s="59">
        <v>77180.490000000005</v>
      </c>
      <c r="E29" s="42">
        <f t="shared" si="12"/>
        <v>643497.06999999995</v>
      </c>
      <c r="F29" s="60">
        <v>86</v>
      </c>
      <c r="G29" s="61">
        <v>49</v>
      </c>
      <c r="H29" s="26">
        <f t="shared" si="13"/>
        <v>46188</v>
      </c>
      <c r="I29" s="58">
        <f t="shared" si="2"/>
        <v>15</v>
      </c>
      <c r="J29" s="40">
        <f t="shared" si="3"/>
        <v>2</v>
      </c>
      <c r="K29" s="59">
        <v>36658.230000000003</v>
      </c>
      <c r="L29" s="42">
        <f t="shared" si="14"/>
        <v>1106184.75</v>
      </c>
      <c r="M29" s="60">
        <v>28</v>
      </c>
      <c r="N29" s="61">
        <v>20</v>
      </c>
      <c r="O29" s="5"/>
      <c r="P29" s="62">
        <f t="shared" si="4"/>
        <v>-40522.26</v>
      </c>
      <c r="Q29" s="63">
        <f t="shared" si="5"/>
        <v>-0.5250324272364687</v>
      </c>
      <c r="R29" s="64">
        <f t="shared" si="6"/>
        <v>462687.68000000005</v>
      </c>
      <c r="S29" s="65">
        <f t="shared" si="7"/>
        <v>0.71902064759984086</v>
      </c>
      <c r="T29" s="2"/>
      <c r="U29" s="2"/>
      <c r="V29" s="2"/>
      <c r="W29" s="5"/>
      <c r="X29" s="6"/>
      <c r="Y29" s="66">
        <v>15</v>
      </c>
      <c r="Z29" s="50">
        <f t="shared" si="8"/>
        <v>39506.598214285717</v>
      </c>
      <c r="AA29" s="51">
        <f t="shared" si="9"/>
        <v>55309.237500000003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45824</v>
      </c>
      <c r="B30" s="58">
        <f t="shared" si="0"/>
        <v>16</v>
      </c>
      <c r="C30" s="40">
        <f t="shared" si="1"/>
        <v>2</v>
      </c>
      <c r="D30" s="59">
        <v>33624.18</v>
      </c>
      <c r="E30" s="42">
        <f t="shared" si="12"/>
        <v>677121.25</v>
      </c>
      <c r="F30" s="60">
        <v>40</v>
      </c>
      <c r="G30" s="61">
        <v>27</v>
      </c>
      <c r="H30" s="26">
        <f t="shared" si="13"/>
        <v>46189</v>
      </c>
      <c r="I30" s="58">
        <f t="shared" si="2"/>
        <v>16</v>
      </c>
      <c r="J30" s="40">
        <f t="shared" si="3"/>
        <v>3</v>
      </c>
      <c r="K30" s="59">
        <v>97494.18</v>
      </c>
      <c r="L30" s="42">
        <f t="shared" si="14"/>
        <v>1203678.93</v>
      </c>
      <c r="M30" s="60">
        <v>69</v>
      </c>
      <c r="N30" s="61">
        <v>47</v>
      </c>
      <c r="O30" s="5"/>
      <c r="P30" s="62">
        <f t="shared" si="4"/>
        <v>63869.999999999993</v>
      </c>
      <c r="Q30" s="63">
        <f t="shared" si="5"/>
        <v>1.8995258769135779</v>
      </c>
      <c r="R30" s="64">
        <f t="shared" si="6"/>
        <v>526557.67999999993</v>
      </c>
      <c r="S30" s="65">
        <f t="shared" si="7"/>
        <v>0.77764164099118127</v>
      </c>
      <c r="T30" s="2"/>
      <c r="U30" s="2"/>
      <c r="V30" s="2"/>
      <c r="W30" s="5"/>
      <c r="X30" s="6"/>
      <c r="Y30" s="66">
        <v>16</v>
      </c>
      <c r="Z30" s="50">
        <f t="shared" si="8"/>
        <v>17444.622173913041</v>
      </c>
      <c r="AA30" s="51">
        <f t="shared" si="9"/>
        <v>25610.19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45825</v>
      </c>
      <c r="B31" s="58">
        <f t="shared" si="0"/>
        <v>17</v>
      </c>
      <c r="C31" s="40">
        <f t="shared" si="1"/>
        <v>3</v>
      </c>
      <c r="D31" s="59">
        <v>33829.160000000003</v>
      </c>
      <c r="E31" s="42">
        <f t="shared" si="12"/>
        <v>710950.41</v>
      </c>
      <c r="F31" s="60">
        <v>35</v>
      </c>
      <c r="G31" s="61">
        <v>25</v>
      </c>
      <c r="H31" s="26">
        <f t="shared" si="13"/>
        <v>46190</v>
      </c>
      <c r="I31" s="58">
        <f t="shared" si="2"/>
        <v>17</v>
      </c>
      <c r="J31" s="40">
        <f t="shared" si="3"/>
        <v>4</v>
      </c>
      <c r="K31" s="59">
        <v>117684.93</v>
      </c>
      <c r="L31" s="42">
        <f t="shared" si="14"/>
        <v>1321363.8599999999</v>
      </c>
      <c r="M31" s="60">
        <v>76</v>
      </c>
      <c r="N31" s="61">
        <v>64</v>
      </c>
      <c r="O31" s="5"/>
      <c r="P31" s="62">
        <f t="shared" si="4"/>
        <v>83855.76999999999</v>
      </c>
      <c r="Q31" s="63">
        <f t="shared" si="5"/>
        <v>2.4788014245698085</v>
      </c>
      <c r="R31" s="64">
        <f t="shared" si="6"/>
        <v>610413.44999999984</v>
      </c>
      <c r="S31" s="65">
        <f t="shared" si="7"/>
        <v>0.858587942863694</v>
      </c>
      <c r="T31" s="2"/>
      <c r="U31" s="2"/>
      <c r="V31" s="2"/>
      <c r="W31" s="5"/>
      <c r="X31" s="6"/>
      <c r="Y31" s="66">
        <v>17</v>
      </c>
      <c r="Z31" s="50">
        <f t="shared" si="8"/>
        <v>17386.366578947367</v>
      </c>
      <c r="AA31" s="51">
        <f t="shared" si="9"/>
        <v>20646.310312499998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45826</v>
      </c>
      <c r="B32" s="58">
        <f t="shared" si="0"/>
        <v>18</v>
      </c>
      <c r="C32" s="40">
        <f t="shared" si="1"/>
        <v>4</v>
      </c>
      <c r="D32" s="59">
        <v>26384.66</v>
      </c>
      <c r="E32" s="42">
        <f t="shared" si="12"/>
        <v>737335.07000000007</v>
      </c>
      <c r="F32" s="60">
        <v>25</v>
      </c>
      <c r="G32" s="61">
        <v>19</v>
      </c>
      <c r="H32" s="26">
        <f t="shared" si="13"/>
        <v>46191</v>
      </c>
      <c r="I32" s="58">
        <f t="shared" si="2"/>
        <v>18</v>
      </c>
      <c r="J32" s="40">
        <f t="shared" si="3"/>
        <v>5</v>
      </c>
      <c r="K32" s="59">
        <v>97795.33</v>
      </c>
      <c r="L32" s="42">
        <f t="shared" si="14"/>
        <v>1419159.19</v>
      </c>
      <c r="M32" s="60">
        <v>70</v>
      </c>
      <c r="N32" s="61">
        <v>55</v>
      </c>
      <c r="O32" s="5"/>
      <c r="P32" s="62">
        <f t="shared" si="4"/>
        <v>71410.67</v>
      </c>
      <c r="Q32" s="63">
        <f t="shared" si="5"/>
        <v>2.7065222746853665</v>
      </c>
      <c r="R32" s="64">
        <f t="shared" si="6"/>
        <v>681824.11999999988</v>
      </c>
      <c r="S32" s="65">
        <f t="shared" si="7"/>
        <v>0.92471407877018486</v>
      </c>
      <c r="T32" s="2"/>
      <c r="U32" s="2"/>
      <c r="V32" s="2"/>
      <c r="W32" s="5"/>
      <c r="X32" s="6"/>
      <c r="Y32" s="66">
        <v>18</v>
      </c>
      <c r="Z32" s="50">
        <f t="shared" si="8"/>
        <v>20273.702714285715</v>
      </c>
      <c r="AA32" s="51">
        <f t="shared" si="9"/>
        <v>25802.894363636362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45827</v>
      </c>
      <c r="B33" s="58">
        <f t="shared" si="0"/>
        <v>19</v>
      </c>
      <c r="C33" s="40">
        <f t="shared" si="1"/>
        <v>5</v>
      </c>
      <c r="D33" s="59">
        <v>18454.86</v>
      </c>
      <c r="E33" s="42">
        <f t="shared" si="12"/>
        <v>755789.93</v>
      </c>
      <c r="F33" s="60">
        <v>26</v>
      </c>
      <c r="G33" s="61">
        <v>14</v>
      </c>
      <c r="H33" s="26">
        <f t="shared" si="13"/>
        <v>46192</v>
      </c>
      <c r="I33" s="58">
        <f t="shared" si="2"/>
        <v>19</v>
      </c>
      <c r="J33" s="40">
        <f t="shared" si="3"/>
        <v>6</v>
      </c>
      <c r="K33" s="59">
        <v>45540.92</v>
      </c>
      <c r="L33" s="42">
        <f t="shared" si="14"/>
        <v>1464700.1099999999</v>
      </c>
      <c r="M33" s="60">
        <v>45</v>
      </c>
      <c r="N33" s="61">
        <v>30</v>
      </c>
      <c r="O33" s="5"/>
      <c r="P33" s="62">
        <f t="shared" si="4"/>
        <v>27086.059999999998</v>
      </c>
      <c r="Q33" s="63">
        <f t="shared" si="5"/>
        <v>1.4676925211028422</v>
      </c>
      <c r="R33" s="64">
        <f t="shared" si="6"/>
        <v>708910.17999999982</v>
      </c>
      <c r="S33" s="65">
        <f t="shared" si="7"/>
        <v>0.93797251307648377</v>
      </c>
      <c r="T33" s="2"/>
      <c r="U33" s="2"/>
      <c r="V33" s="2"/>
      <c r="W33" s="5"/>
      <c r="X33" s="6"/>
      <c r="Y33" s="66">
        <v>19</v>
      </c>
      <c r="Z33" s="50">
        <f t="shared" si="8"/>
        <v>32548.891333333329</v>
      </c>
      <c r="AA33" s="51">
        <f t="shared" si="9"/>
        <v>48823.336999999992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45828</v>
      </c>
      <c r="B34" s="58">
        <f t="shared" si="0"/>
        <v>20</v>
      </c>
      <c r="C34" s="40">
        <f t="shared" si="1"/>
        <v>6</v>
      </c>
      <c r="D34" s="59">
        <v>46621.54</v>
      </c>
      <c r="E34" s="42">
        <f t="shared" si="12"/>
        <v>802411.47000000009</v>
      </c>
      <c r="F34" s="60">
        <v>48</v>
      </c>
      <c r="G34" s="61">
        <v>27</v>
      </c>
      <c r="H34" s="26">
        <f t="shared" si="13"/>
        <v>46193</v>
      </c>
      <c r="I34" s="58">
        <f t="shared" si="2"/>
        <v>20</v>
      </c>
      <c r="J34" s="40">
        <f t="shared" si="3"/>
        <v>7</v>
      </c>
      <c r="K34" s="59">
        <v>204600.22</v>
      </c>
      <c r="L34" s="42">
        <f t="shared" si="14"/>
        <v>1669300.3299999998</v>
      </c>
      <c r="M34" s="60">
        <v>138</v>
      </c>
      <c r="N34" s="61">
        <v>74</v>
      </c>
      <c r="O34" s="5"/>
      <c r="P34" s="62">
        <f t="shared" si="4"/>
        <v>157978.68</v>
      </c>
      <c r="Q34" s="63">
        <f t="shared" si="5"/>
        <v>3.3885341410858585</v>
      </c>
      <c r="R34" s="64">
        <f t="shared" si="6"/>
        <v>866888.85999999975</v>
      </c>
      <c r="S34" s="65">
        <f t="shared" si="7"/>
        <v>1.0803545218514881</v>
      </c>
      <c r="T34" s="2"/>
      <c r="U34" s="2"/>
      <c r="V34" s="2"/>
      <c r="W34" s="5"/>
      <c r="X34" s="6"/>
      <c r="Y34" s="66">
        <v>20</v>
      </c>
      <c r="Z34" s="50">
        <f t="shared" si="8"/>
        <v>12096.37920289855</v>
      </c>
      <c r="AA34" s="51">
        <f t="shared" si="9"/>
        <v>22558.112567567565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45829</v>
      </c>
      <c r="B35" s="58">
        <f t="shared" si="0"/>
        <v>21</v>
      </c>
      <c r="C35" s="40">
        <f t="shared" si="1"/>
        <v>7</v>
      </c>
      <c r="D35" s="59">
        <v>43693.08</v>
      </c>
      <c r="E35" s="42">
        <f t="shared" si="12"/>
        <v>846104.55</v>
      </c>
      <c r="F35" s="60">
        <v>58</v>
      </c>
      <c r="G35" s="61">
        <v>37</v>
      </c>
      <c r="H35" s="26">
        <f t="shared" si="13"/>
        <v>46194</v>
      </c>
      <c r="I35" s="58">
        <f t="shared" si="2"/>
        <v>21</v>
      </c>
      <c r="J35" s="40">
        <f t="shared" si="3"/>
        <v>1</v>
      </c>
      <c r="K35" s="59">
        <v>76408.490000000005</v>
      </c>
      <c r="L35" s="42">
        <f t="shared" si="14"/>
        <v>1745708.8199999998</v>
      </c>
      <c r="M35" s="60">
        <v>64</v>
      </c>
      <c r="N35" s="61">
        <v>44</v>
      </c>
      <c r="O35" s="5"/>
      <c r="P35" s="62">
        <f t="shared" si="4"/>
        <v>32715.410000000003</v>
      </c>
      <c r="Q35" s="63">
        <f t="shared" si="5"/>
        <v>0.74875495158501071</v>
      </c>
      <c r="R35" s="64">
        <f t="shared" si="6"/>
        <v>899604.26999999979</v>
      </c>
      <c r="S35" s="65">
        <f t="shared" si="7"/>
        <v>1.0632306255769453</v>
      </c>
      <c r="T35" s="2"/>
      <c r="U35" s="2"/>
      <c r="V35" s="2"/>
      <c r="W35" s="5"/>
      <c r="X35" s="6"/>
      <c r="Y35" s="66">
        <v>21</v>
      </c>
      <c r="Z35" s="50">
        <f t="shared" si="8"/>
        <v>27276.700312499997</v>
      </c>
      <c r="AA35" s="51">
        <f t="shared" si="9"/>
        <v>39675.200454545447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45830</v>
      </c>
      <c r="B36" s="58">
        <f t="shared" si="0"/>
        <v>22</v>
      </c>
      <c r="C36" s="40">
        <f t="shared" si="1"/>
        <v>1</v>
      </c>
      <c r="D36" s="59">
        <v>45917.75</v>
      </c>
      <c r="E36" s="42">
        <f t="shared" si="12"/>
        <v>892022.3</v>
      </c>
      <c r="F36" s="60">
        <v>40</v>
      </c>
      <c r="G36" s="61">
        <v>27</v>
      </c>
      <c r="H36" s="26">
        <f t="shared" si="13"/>
        <v>46195</v>
      </c>
      <c r="I36" s="58">
        <f t="shared" si="2"/>
        <v>22</v>
      </c>
      <c r="J36" s="40">
        <f t="shared" si="3"/>
        <v>2</v>
      </c>
      <c r="K36" s="59">
        <v>37717.24</v>
      </c>
      <c r="L36" s="42">
        <f t="shared" si="14"/>
        <v>1783426.0599999998</v>
      </c>
      <c r="M36" s="60">
        <v>29</v>
      </c>
      <c r="N36" s="61">
        <v>18</v>
      </c>
      <c r="O36" s="5"/>
      <c r="P36" s="62">
        <f t="shared" si="4"/>
        <v>-8200.510000000002</v>
      </c>
      <c r="Q36" s="63">
        <f t="shared" si="5"/>
        <v>-0.17859128550506076</v>
      </c>
      <c r="R36" s="64">
        <f t="shared" si="6"/>
        <v>891403.75999999978</v>
      </c>
      <c r="S36" s="65">
        <f t="shared" si="7"/>
        <v>0.9993065868420552</v>
      </c>
      <c r="T36" s="2"/>
      <c r="U36" s="2"/>
      <c r="V36" s="2"/>
      <c r="W36" s="5"/>
      <c r="X36" s="6"/>
      <c r="Y36" s="66">
        <v>22</v>
      </c>
      <c r="Z36" s="50">
        <f t="shared" si="8"/>
        <v>61497.450344827579</v>
      </c>
      <c r="AA36" s="51">
        <f t="shared" si="9"/>
        <v>99079.225555555546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45831</v>
      </c>
      <c r="B37" s="58">
        <f t="shared" si="0"/>
        <v>23</v>
      </c>
      <c r="C37" s="40">
        <f t="shared" si="1"/>
        <v>2</v>
      </c>
      <c r="D37" s="59">
        <v>18577.95</v>
      </c>
      <c r="E37" s="42">
        <f t="shared" si="12"/>
        <v>910600.25</v>
      </c>
      <c r="F37" s="60">
        <v>22</v>
      </c>
      <c r="G37" s="61">
        <v>16</v>
      </c>
      <c r="H37" s="26">
        <f t="shared" si="13"/>
        <v>46196</v>
      </c>
      <c r="I37" s="58">
        <f t="shared" si="2"/>
        <v>23</v>
      </c>
      <c r="J37" s="40">
        <f t="shared" si="3"/>
        <v>3</v>
      </c>
      <c r="K37" s="59">
        <v>43436.51</v>
      </c>
      <c r="L37" s="42">
        <f t="shared" si="14"/>
        <v>1826862.5699999998</v>
      </c>
      <c r="M37" s="60">
        <v>35</v>
      </c>
      <c r="N37" s="61">
        <v>30</v>
      </c>
      <c r="O37" s="5"/>
      <c r="P37" s="62">
        <f t="shared" si="4"/>
        <v>24858.560000000001</v>
      </c>
      <c r="Q37" s="63">
        <f t="shared" si="5"/>
        <v>1.3380679784368028</v>
      </c>
      <c r="R37" s="64">
        <f t="shared" si="6"/>
        <v>916262.31999999983</v>
      </c>
      <c r="S37" s="65">
        <f t="shared" si="7"/>
        <v>1.0062179534872739</v>
      </c>
      <c r="T37" s="2"/>
      <c r="U37" s="2"/>
      <c r="V37" s="2"/>
      <c r="W37" s="5"/>
      <c r="X37" s="6"/>
      <c r="Y37" s="66">
        <v>23</v>
      </c>
      <c r="Z37" s="50">
        <f t="shared" si="8"/>
        <v>52196.073428571421</v>
      </c>
      <c r="AA37" s="51">
        <f t="shared" si="9"/>
        <v>60895.418999999994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45832</v>
      </c>
      <c r="B38" s="58">
        <f t="shared" si="0"/>
        <v>24</v>
      </c>
      <c r="C38" s="40">
        <f t="shared" si="1"/>
        <v>3</v>
      </c>
      <c r="D38" s="59">
        <v>16349.5</v>
      </c>
      <c r="E38" s="42">
        <f t="shared" si="12"/>
        <v>926949.75</v>
      </c>
      <c r="F38" s="60">
        <v>15</v>
      </c>
      <c r="G38" s="61">
        <v>12</v>
      </c>
      <c r="H38" s="26">
        <f t="shared" si="13"/>
        <v>46197</v>
      </c>
      <c r="I38" s="58">
        <f t="shared" si="2"/>
        <v>24</v>
      </c>
      <c r="J38" s="40">
        <f t="shared" si="3"/>
        <v>4</v>
      </c>
      <c r="K38" s="59">
        <v>16660.37</v>
      </c>
      <c r="L38" s="42">
        <f t="shared" si="14"/>
        <v>1843522.94</v>
      </c>
      <c r="M38" s="60">
        <v>16</v>
      </c>
      <c r="N38" s="61">
        <v>14</v>
      </c>
      <c r="O38" s="5"/>
      <c r="P38" s="62">
        <f t="shared" si="4"/>
        <v>310.86999999999898</v>
      </c>
      <c r="Q38" s="63">
        <f t="shared" si="5"/>
        <v>1.9014037126517502E-2</v>
      </c>
      <c r="R38" s="64">
        <f t="shared" si="6"/>
        <v>916573.19</v>
      </c>
      <c r="S38" s="65">
        <f t="shared" si="7"/>
        <v>0.98880569308098942</v>
      </c>
      <c r="T38" s="2"/>
      <c r="U38" s="2"/>
      <c r="V38" s="2"/>
      <c r="W38" s="5"/>
      <c r="X38" s="6"/>
      <c r="Y38" s="66">
        <v>24</v>
      </c>
      <c r="Z38" s="50">
        <f t="shared" si="8"/>
        <v>115220.18375</v>
      </c>
      <c r="AA38" s="51">
        <f t="shared" si="9"/>
        <v>131680.21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45833</v>
      </c>
      <c r="B39" s="58">
        <f t="shared" si="0"/>
        <v>25</v>
      </c>
      <c r="C39" s="40">
        <f t="shared" si="1"/>
        <v>4</v>
      </c>
      <c r="D39" s="59">
        <v>19858.38</v>
      </c>
      <c r="E39" s="42">
        <f t="shared" si="12"/>
        <v>946808.13</v>
      </c>
      <c r="F39" s="60">
        <v>25</v>
      </c>
      <c r="G39" s="61">
        <v>17</v>
      </c>
      <c r="H39" s="26">
        <f t="shared" si="13"/>
        <v>46198</v>
      </c>
      <c r="I39" s="58">
        <f t="shared" si="2"/>
        <v>25</v>
      </c>
      <c r="J39" s="40">
        <f t="shared" si="3"/>
        <v>5</v>
      </c>
      <c r="K39" s="59">
        <v>53022.48</v>
      </c>
      <c r="L39" s="42">
        <f t="shared" si="14"/>
        <v>1896545.42</v>
      </c>
      <c r="M39" s="60">
        <v>35</v>
      </c>
      <c r="N39" s="61">
        <v>31</v>
      </c>
      <c r="O39" s="5"/>
      <c r="P39" s="62">
        <f t="shared" si="4"/>
        <v>33164.100000000006</v>
      </c>
      <c r="Q39" s="63">
        <f t="shared" si="5"/>
        <v>1.6700304858704489</v>
      </c>
      <c r="R39" s="64">
        <f t="shared" si="6"/>
        <v>949737.28999999992</v>
      </c>
      <c r="S39" s="65">
        <f t="shared" si="7"/>
        <v>1.0030937207943071</v>
      </c>
      <c r="T39" s="2"/>
      <c r="U39" s="2"/>
      <c r="V39" s="2"/>
      <c r="W39" s="5"/>
      <c r="X39" s="6"/>
      <c r="Y39" s="66">
        <v>25</v>
      </c>
      <c r="Z39" s="50">
        <f t="shared" si="8"/>
        <v>54187.011999999995</v>
      </c>
      <c r="AA39" s="51">
        <f t="shared" si="9"/>
        <v>61178.88451612903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45834</v>
      </c>
      <c r="B40" s="58">
        <f t="shared" si="0"/>
        <v>26</v>
      </c>
      <c r="C40" s="40">
        <f t="shared" si="1"/>
        <v>5</v>
      </c>
      <c r="D40" s="59">
        <v>29158.52</v>
      </c>
      <c r="E40" s="42">
        <f t="shared" si="12"/>
        <v>975966.65</v>
      </c>
      <c r="F40" s="60">
        <v>27</v>
      </c>
      <c r="G40" s="61">
        <v>19</v>
      </c>
      <c r="H40" s="26">
        <f t="shared" si="13"/>
        <v>46199</v>
      </c>
      <c r="I40" s="58">
        <f t="shared" si="2"/>
        <v>26</v>
      </c>
      <c r="J40" s="40">
        <f t="shared" si="3"/>
        <v>6</v>
      </c>
      <c r="K40" s="59">
        <v>29574.69</v>
      </c>
      <c r="L40" s="42">
        <f t="shared" si="14"/>
        <v>1926120.1099999999</v>
      </c>
      <c r="M40" s="60">
        <v>25</v>
      </c>
      <c r="N40" s="61">
        <v>21</v>
      </c>
      <c r="O40" s="5"/>
      <c r="P40" s="62">
        <f t="shared" si="4"/>
        <v>416.16999999999825</v>
      </c>
      <c r="Q40" s="63">
        <f t="shared" si="5"/>
        <v>1.4272672275547515E-2</v>
      </c>
      <c r="R40" s="64">
        <f t="shared" si="6"/>
        <v>950153.45999999985</v>
      </c>
      <c r="S40" s="65">
        <f t="shared" si="7"/>
        <v>0.97355115566705064</v>
      </c>
      <c r="T40" s="2"/>
      <c r="U40" s="2"/>
      <c r="V40" s="2"/>
      <c r="W40" s="5"/>
      <c r="X40" s="6"/>
      <c r="Y40" s="66">
        <v>26</v>
      </c>
      <c r="Z40" s="50">
        <f t="shared" si="8"/>
        <v>77044.804399999994</v>
      </c>
      <c r="AA40" s="51">
        <f t="shared" si="9"/>
        <v>91720.005238095226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45835</v>
      </c>
      <c r="B41" s="58">
        <f t="shared" si="0"/>
        <v>27</v>
      </c>
      <c r="C41" s="40">
        <f t="shared" si="1"/>
        <v>6</v>
      </c>
      <c r="D41" s="59">
        <v>40870.47</v>
      </c>
      <c r="E41" s="42">
        <f t="shared" si="12"/>
        <v>1016837.12</v>
      </c>
      <c r="F41" s="60">
        <v>39</v>
      </c>
      <c r="G41" s="61">
        <v>26</v>
      </c>
      <c r="H41" s="26">
        <f t="shared" si="13"/>
        <v>46200</v>
      </c>
      <c r="I41" s="58">
        <f t="shared" si="2"/>
        <v>27</v>
      </c>
      <c r="J41" s="40">
        <f t="shared" si="3"/>
        <v>7</v>
      </c>
      <c r="K41" s="59">
        <v>45332.42</v>
      </c>
      <c r="L41" s="42">
        <f t="shared" si="14"/>
        <v>1971452.5299999998</v>
      </c>
      <c r="M41" s="60">
        <v>43</v>
      </c>
      <c r="N41" s="61">
        <v>32</v>
      </c>
      <c r="O41" s="5"/>
      <c r="P41" s="62">
        <f t="shared" si="4"/>
        <v>4461.9499999999971</v>
      </c>
      <c r="Q41" s="63">
        <f t="shared" si="5"/>
        <v>0.10917295543701844</v>
      </c>
      <c r="R41" s="64">
        <f t="shared" si="6"/>
        <v>954615.4099999998</v>
      </c>
      <c r="S41" s="65">
        <f t="shared" si="7"/>
        <v>0.93880857732652379</v>
      </c>
      <c r="T41" s="2"/>
      <c r="U41" s="2"/>
      <c r="V41" s="2"/>
      <c r="W41" s="5"/>
      <c r="X41" s="6"/>
      <c r="Y41" s="66">
        <v>27</v>
      </c>
      <c r="Z41" s="50">
        <f t="shared" si="8"/>
        <v>45847.733255813946</v>
      </c>
      <c r="AA41" s="51">
        <f t="shared" si="9"/>
        <v>61607.891562499994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45836</v>
      </c>
      <c r="B42" s="58">
        <f t="shared" si="0"/>
        <v>28</v>
      </c>
      <c r="C42" s="40">
        <f t="shared" si="1"/>
        <v>7</v>
      </c>
      <c r="D42" s="59">
        <v>66613.350000000006</v>
      </c>
      <c r="E42" s="42">
        <f t="shared" si="12"/>
        <v>1083450.47</v>
      </c>
      <c r="F42" s="60">
        <v>67</v>
      </c>
      <c r="G42" s="61">
        <v>45</v>
      </c>
      <c r="H42" s="26">
        <f t="shared" si="13"/>
        <v>46201</v>
      </c>
      <c r="I42" s="58">
        <f t="shared" si="2"/>
        <v>28</v>
      </c>
      <c r="J42" s="40">
        <f t="shared" si="3"/>
        <v>1</v>
      </c>
      <c r="K42" s="59">
        <v>43925.61</v>
      </c>
      <c r="L42" s="42">
        <f t="shared" si="14"/>
        <v>2015378.14</v>
      </c>
      <c r="M42" s="60">
        <v>39</v>
      </c>
      <c r="N42" s="61">
        <v>32</v>
      </c>
      <c r="O42" s="5"/>
      <c r="P42" s="62">
        <f t="shared" si="4"/>
        <v>-22687.740000000005</v>
      </c>
      <c r="Q42" s="63">
        <f t="shared" si="5"/>
        <v>-0.34058848564139177</v>
      </c>
      <c r="R42" s="64">
        <f t="shared" si="6"/>
        <v>931927.66999999993</v>
      </c>
      <c r="S42" s="65">
        <f t="shared" si="7"/>
        <v>0.86014792166733756</v>
      </c>
      <c r="T42" s="2"/>
      <c r="U42" s="2"/>
      <c r="V42" s="2"/>
      <c r="W42" s="5"/>
      <c r="X42" s="6"/>
      <c r="Y42" s="66">
        <v>28</v>
      </c>
      <c r="Z42" s="50">
        <f t="shared" si="8"/>
        <v>51676.362564102565</v>
      </c>
      <c r="AA42" s="51">
        <f t="shared" si="9"/>
        <v>62980.566874999997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45837</v>
      </c>
      <c r="B43" s="58">
        <f t="shared" si="0"/>
        <v>29</v>
      </c>
      <c r="C43" s="40">
        <f t="shared" si="1"/>
        <v>1</v>
      </c>
      <c r="D43" s="59">
        <v>61244.57</v>
      </c>
      <c r="E43" s="42">
        <f t="shared" si="12"/>
        <v>1144695.04</v>
      </c>
      <c r="F43" s="60">
        <v>76</v>
      </c>
      <c r="G43" s="61">
        <v>46</v>
      </c>
      <c r="H43" s="26">
        <f t="shared" si="13"/>
        <v>46202</v>
      </c>
      <c r="I43" s="58">
        <f t="shared" si="2"/>
        <v>29</v>
      </c>
      <c r="J43" s="40">
        <f t="shared" si="3"/>
        <v>2</v>
      </c>
      <c r="K43" s="59">
        <v>24450.18</v>
      </c>
      <c r="L43" s="42">
        <f t="shared" si="14"/>
        <v>2039828.3199999998</v>
      </c>
      <c r="M43" s="60">
        <v>18</v>
      </c>
      <c r="N43" s="61">
        <v>17</v>
      </c>
      <c r="O43" s="5"/>
      <c r="P43" s="62">
        <f t="shared" si="4"/>
        <v>-36794.39</v>
      </c>
      <c r="Q43" s="63">
        <f t="shared" si="5"/>
        <v>-0.60077799550229516</v>
      </c>
      <c r="R43" s="64">
        <f t="shared" si="6"/>
        <v>895133.2799999998</v>
      </c>
      <c r="S43" s="65">
        <f t="shared" si="7"/>
        <v>0.78198406450682256</v>
      </c>
      <c r="T43" s="2"/>
      <c r="U43" s="2"/>
      <c r="V43" s="2"/>
      <c r="W43" s="5"/>
      <c r="X43" s="6"/>
      <c r="Y43" s="66">
        <v>29</v>
      </c>
      <c r="Z43" s="50">
        <f t="shared" si="8"/>
        <v>113323.79555555555</v>
      </c>
      <c r="AA43" s="51">
        <f t="shared" si="9"/>
        <v>119989.90117647058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45838</v>
      </c>
      <c r="B44" s="58">
        <f t="shared" si="0"/>
        <v>30</v>
      </c>
      <c r="C44" s="40">
        <f t="shared" si="1"/>
        <v>2</v>
      </c>
      <c r="D44" s="59">
        <v>36682.769999999997</v>
      </c>
      <c r="E44" s="42">
        <f t="shared" si="12"/>
        <v>1181377.81</v>
      </c>
      <c r="F44" s="60">
        <v>37</v>
      </c>
      <c r="G44" s="61">
        <v>25</v>
      </c>
      <c r="H44" s="26">
        <f t="shared" si="13"/>
        <v>46203</v>
      </c>
      <c r="I44" s="58">
        <f t="shared" si="2"/>
        <v>30</v>
      </c>
      <c r="J44" s="40">
        <f t="shared" si="3"/>
        <v>3</v>
      </c>
      <c r="K44" s="59">
        <v>11992.16</v>
      </c>
      <c r="L44" s="42">
        <f t="shared" si="14"/>
        <v>2051820.4799999997</v>
      </c>
      <c r="M44" s="60">
        <v>12</v>
      </c>
      <c r="N44" s="61">
        <v>10</v>
      </c>
      <c r="O44" s="5"/>
      <c r="P44" s="62">
        <f t="shared" si="4"/>
        <v>-24690.609999999997</v>
      </c>
      <c r="Q44" s="63">
        <f t="shared" si="5"/>
        <v>-0.67308466617978957</v>
      </c>
      <c r="R44" s="64">
        <f t="shared" si="6"/>
        <v>870442.66999999969</v>
      </c>
      <c r="S44" s="65">
        <f t="shared" si="7"/>
        <v>0.73680296229704845</v>
      </c>
      <c r="T44" s="2"/>
      <c r="U44" s="2"/>
      <c r="V44" s="2"/>
      <c r="W44" s="5"/>
      <c r="X44" s="6"/>
      <c r="Y44" s="66">
        <v>30</v>
      </c>
      <c r="Z44" s="50">
        <f t="shared" si="8"/>
        <v>170985.03999999998</v>
      </c>
      <c r="AA44" s="51">
        <f t="shared" si="9"/>
        <v>205182.04799999998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45839</v>
      </c>
      <c r="B45" s="74">
        <f t="shared" si="0"/>
        <v>1</v>
      </c>
      <c r="C45" s="75">
        <f t="shared" si="1"/>
        <v>3</v>
      </c>
      <c r="D45" s="76"/>
      <c r="E45" s="77" t="str">
        <f t="shared" si="12"/>
        <v/>
      </c>
      <c r="F45" s="78"/>
      <c r="G45" s="79"/>
      <c r="H45" s="26">
        <f t="shared" si="13"/>
        <v>46204</v>
      </c>
      <c r="I45" s="74">
        <f t="shared" si="2"/>
        <v>1</v>
      </c>
      <c r="J45" s="40">
        <f t="shared" si="3"/>
        <v>4</v>
      </c>
      <c r="K45" s="76"/>
      <c r="L45" s="77" t="str">
        <f t="shared" si="14"/>
        <v/>
      </c>
      <c r="M45" s="78"/>
      <c r="N45" s="79"/>
      <c r="O45" s="5"/>
      <c r="P45" s="80" t="str">
        <f t="shared" si="4"/>
        <v/>
      </c>
      <c r="Q45" s="81" t="str">
        <f t="shared" si="5"/>
        <v xml:space="preserve"> </v>
      </c>
      <c r="R45" s="82" t="str">
        <f t="shared" si="6"/>
        <v/>
      </c>
      <c r="S45" s="83" t="str">
        <f t="shared" si="7"/>
        <v/>
      </c>
      <c r="T45" s="2"/>
      <c r="U45" s="2"/>
      <c r="V45" s="2"/>
      <c r="W45" s="5"/>
      <c r="X45" s="6"/>
      <c r="Y45" s="84">
        <v>31</v>
      </c>
      <c r="Z45" s="50" t="str">
        <f t="shared" si="8"/>
        <v xml:space="preserve"> </v>
      </c>
      <c r="AA45" s="51" t="str">
        <f t="shared" si="9"/>
        <v xml:space="preserve"> 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1303</v>
      </c>
      <c r="G46" s="89">
        <f t="shared" si="45"/>
        <v>831</v>
      </c>
      <c r="H46" s="2"/>
      <c r="I46" s="2"/>
      <c r="J46" s="2"/>
      <c r="K46" s="2"/>
      <c r="L46" s="2"/>
      <c r="M46" s="89">
        <f t="shared" ref="M46:N46" si="46">SUM(M15:M45)</f>
        <v>1496</v>
      </c>
      <c r="N46" s="89">
        <f t="shared" si="46"/>
        <v>1097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1870.3924156791247</v>
      </c>
      <c r="AA46" s="92">
        <f>IFERROR(M46/N46,0)</f>
        <v>1.3637192342752962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1181377.81</v>
      </c>
      <c r="F47" s="97"/>
      <c r="G47" s="97"/>
      <c r="H47" s="98"/>
      <c r="I47" s="129" t="s">
        <v>40</v>
      </c>
      <c r="J47" s="130"/>
      <c r="K47" s="96">
        <f>SUM(K15:K45)</f>
        <v>2051820.4799999997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1370398.2596</v>
      </c>
      <c r="F48" s="97"/>
      <c r="G48" s="97"/>
      <c r="H48" s="104"/>
      <c r="I48" s="129" t="s">
        <v>43</v>
      </c>
      <c r="J48" s="130"/>
      <c r="K48" s="103">
        <f>K47*1.16</f>
        <v>2380111.7567999996</v>
      </c>
      <c r="L48" s="105" t="s">
        <v>44</v>
      </c>
      <c r="M48" s="106"/>
      <c r="N48" s="106"/>
      <c r="O48" s="106"/>
      <c r="P48" s="106"/>
      <c r="Q48" s="106"/>
      <c r="R48" s="107">
        <f>K47-E47</f>
        <v>870442.66999999969</v>
      </c>
      <c r="S48" s="108">
        <f>IFERROR(+K47/E47-1,0)</f>
        <v>0.73680296229704845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56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-2051820.4799999997</v>
      </c>
      <c r="BN49" s="113">
        <f t="shared" ref="BN49:BO49" si="48">+BN46-M46</f>
        <v>-1496</v>
      </c>
      <c r="BO49" s="114">
        <f t="shared" si="48"/>
        <v>-1097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41" priority="1" operator="lessThan">
      <formula>0</formula>
    </cfRule>
  </conditionalFormatting>
  <conditionalFormatting sqref="E47:G48 K47:K48">
    <cfRule type="cellIs" dxfId="40" priority="2" operator="lessThan">
      <formula>0</formula>
    </cfRule>
  </conditionalFormatting>
  <conditionalFormatting sqref="K15:L45">
    <cfRule type="cellIs" dxfId="39" priority="3" operator="lessThan">
      <formula>0</formula>
    </cfRule>
  </conditionalFormatting>
  <conditionalFormatting sqref="P15:S45">
    <cfRule type="cellIs" dxfId="38" priority="4" operator="lessThan">
      <formula>0</formula>
    </cfRule>
  </conditionalFormatting>
  <conditionalFormatting sqref="R48:S48">
    <cfRule type="cellIs" dxfId="37" priority="5" operator="lessThan">
      <formula>0</formula>
    </cfRule>
  </conditionalFormatting>
  <conditionalFormatting sqref="V8">
    <cfRule type="expression" dxfId="36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5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5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5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500-000003000000}">
          <x14:formula1>
            <xm:f>DTA!$I$4:$I$18</xm:f>
          </x14:formula1>
          <xm:sqref>D8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2026</v>
      </c>
      <c r="D1" s="3">
        <f>VLOOKUP(D3,DTA!$B$3:$C$15,2,FALSE)</f>
        <v>7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2026</v>
      </c>
      <c r="D3" s="11" t="s">
        <v>53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53</v>
      </c>
      <c r="S8" s="11">
        <v>1</v>
      </c>
      <c r="T8" s="2"/>
      <c r="U8" s="138"/>
      <c r="V8" s="16">
        <v>1571112.4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7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11</v>
      </c>
      <c r="C13" s="147"/>
      <c r="D13" s="147"/>
      <c r="E13" s="147"/>
      <c r="F13" s="147"/>
      <c r="G13" s="148"/>
      <c r="H13" s="5"/>
      <c r="I13" s="149" t="s">
        <v>38</v>
      </c>
      <c r="J13" s="150"/>
      <c r="K13" s="150"/>
      <c r="L13" s="150"/>
      <c r="M13" s="150"/>
      <c r="N13" s="132"/>
      <c r="O13" s="5"/>
      <c r="P13" s="134" t="s">
        <v>52</v>
      </c>
      <c r="Q13" s="150"/>
      <c r="R13" s="150"/>
      <c r="S13" s="132"/>
      <c r="T13" s="2"/>
      <c r="U13" s="24" t="s">
        <v>13</v>
      </c>
      <c r="V13" s="25">
        <f>K47/V8</f>
        <v>0.70975953089034249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46204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46204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46204</v>
      </c>
      <c r="B15" s="39">
        <f t="shared" ref="B15:B45" si="0">+DAY(A15)</f>
        <v>1</v>
      </c>
      <c r="C15" s="40">
        <f t="shared" ref="C15:C45" si="1">+WEEKDAY(A15)</f>
        <v>4</v>
      </c>
      <c r="D15" s="41">
        <v>35733.480000000003</v>
      </c>
      <c r="E15" s="42">
        <f>D15</f>
        <v>35733.480000000003</v>
      </c>
      <c r="F15" s="43">
        <v>39</v>
      </c>
      <c r="G15" s="44">
        <v>24</v>
      </c>
      <c r="H15" s="26">
        <f>H14</f>
        <v>46204</v>
      </c>
      <c r="I15" s="39">
        <f t="shared" ref="I15:I45" si="2">+DAY(H15)</f>
        <v>1</v>
      </c>
      <c r="J15" s="40">
        <f t="shared" ref="J15:J45" si="3">+WEEKDAY(H15)</f>
        <v>4</v>
      </c>
      <c r="K15" s="41">
        <v>43378.44</v>
      </c>
      <c r="L15" s="42">
        <f>K15</f>
        <v>43378.44</v>
      </c>
      <c r="M15" s="43">
        <v>33</v>
      </c>
      <c r="N15" s="44">
        <v>21</v>
      </c>
      <c r="O15" s="5"/>
      <c r="P15" s="45">
        <f t="shared" ref="P15:P45" si="4">IF(NOT(ISBLANK(K15)),SUM(K15-D15),"")</f>
        <v>7644.9599999999991</v>
      </c>
      <c r="Q15" s="46">
        <f t="shared" ref="Q15:Q45" si="5">IF(NOT(ISBLANK(K15)),IFERROR(((K15/D15)-1)," ")," ")</f>
        <v>0.21394389799146341</v>
      </c>
      <c r="R15" s="47">
        <f t="shared" ref="R15:R45" si="6">IF(NOT(ISBLANK(K15)),SUM(L15-E15),"")</f>
        <v>7644.9599999999991</v>
      </c>
      <c r="S15" s="48">
        <f t="shared" ref="S15:S45" si="7">IFERROR(((L15/E15)-1),"")</f>
        <v>0.21394389799146341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1314.4981818181818</v>
      </c>
      <c r="AA15" s="51">
        <f t="shared" ref="AA15:AA45" si="9">IFERROR((L15/N15)," ")</f>
        <v>2065.6400000000003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46205</v>
      </c>
      <c r="B16" s="58">
        <f t="shared" si="0"/>
        <v>2</v>
      </c>
      <c r="C16" s="40">
        <f t="shared" si="1"/>
        <v>5</v>
      </c>
      <c r="D16" s="59">
        <v>51466.400000000001</v>
      </c>
      <c r="E16" s="42">
        <f t="shared" ref="E16:E45" si="12">IF(NOT(ISBLANK(D16)),SUM(E15+D16),"")</f>
        <v>87199.88</v>
      </c>
      <c r="F16" s="60">
        <v>42</v>
      </c>
      <c r="G16" s="61">
        <v>27</v>
      </c>
      <c r="H16" s="26">
        <f t="shared" ref="H16:H45" si="13">H15+1</f>
        <v>46205</v>
      </c>
      <c r="I16" s="58">
        <f t="shared" si="2"/>
        <v>2</v>
      </c>
      <c r="J16" s="40">
        <f t="shared" si="3"/>
        <v>5</v>
      </c>
      <c r="K16" s="59">
        <v>31153.57</v>
      </c>
      <c r="L16" s="42">
        <f t="shared" ref="L16:L45" si="14">IF(NOT(ISBLANK(K16)),SUM(L15+K16),"")</f>
        <v>74532.010000000009</v>
      </c>
      <c r="M16" s="60">
        <v>23</v>
      </c>
      <c r="N16" s="61">
        <v>21</v>
      </c>
      <c r="O16" s="5"/>
      <c r="P16" s="62">
        <f t="shared" si="4"/>
        <v>-20312.830000000002</v>
      </c>
      <c r="Q16" s="63">
        <f t="shared" si="5"/>
        <v>-0.39468138435950451</v>
      </c>
      <c r="R16" s="64">
        <f t="shared" si="6"/>
        <v>-12667.869999999995</v>
      </c>
      <c r="S16" s="65">
        <f t="shared" si="7"/>
        <v>-0.14527393845037395</v>
      </c>
      <c r="T16" s="2"/>
      <c r="U16" s="2"/>
      <c r="V16" s="2"/>
      <c r="W16" s="5"/>
      <c r="X16" s="6"/>
      <c r="Y16" s="66">
        <v>2</v>
      </c>
      <c r="Z16" s="50">
        <f t="shared" si="8"/>
        <v>3240.5221739130438</v>
      </c>
      <c r="AA16" s="51">
        <f t="shared" si="9"/>
        <v>3549.1433333333339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46206</v>
      </c>
      <c r="B17" s="58">
        <f t="shared" si="0"/>
        <v>3</v>
      </c>
      <c r="C17" s="40">
        <f t="shared" si="1"/>
        <v>6</v>
      </c>
      <c r="D17" s="59">
        <v>58473.7</v>
      </c>
      <c r="E17" s="42">
        <f t="shared" si="12"/>
        <v>145673.58000000002</v>
      </c>
      <c r="F17" s="60">
        <v>52</v>
      </c>
      <c r="G17" s="61">
        <v>28</v>
      </c>
      <c r="H17" s="26">
        <f t="shared" si="13"/>
        <v>46206</v>
      </c>
      <c r="I17" s="58">
        <f t="shared" si="2"/>
        <v>3</v>
      </c>
      <c r="J17" s="40">
        <f t="shared" si="3"/>
        <v>6</v>
      </c>
      <c r="K17" s="59">
        <v>55372.3</v>
      </c>
      <c r="L17" s="42">
        <f t="shared" si="14"/>
        <v>129904.31000000001</v>
      </c>
      <c r="M17" s="60">
        <v>52</v>
      </c>
      <c r="N17" s="61">
        <v>33</v>
      </c>
      <c r="O17" s="5"/>
      <c r="P17" s="62">
        <f t="shared" si="4"/>
        <v>-3101.3999999999942</v>
      </c>
      <c r="Q17" s="63">
        <f t="shared" si="5"/>
        <v>-5.3039229602368176E-2</v>
      </c>
      <c r="R17" s="64">
        <f t="shared" si="6"/>
        <v>-15769.270000000004</v>
      </c>
      <c r="S17" s="65">
        <f t="shared" si="7"/>
        <v>-0.10825072054932683</v>
      </c>
      <c r="T17" s="2"/>
      <c r="U17" s="2"/>
      <c r="V17" s="2"/>
      <c r="W17" s="5"/>
      <c r="X17" s="6"/>
      <c r="Y17" s="66">
        <v>3</v>
      </c>
      <c r="Z17" s="50">
        <f t="shared" si="8"/>
        <v>2498.1598076923078</v>
      </c>
      <c r="AA17" s="51">
        <f t="shared" si="9"/>
        <v>3936.4942424242427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46207</v>
      </c>
      <c r="B18" s="58">
        <f t="shared" si="0"/>
        <v>4</v>
      </c>
      <c r="C18" s="40">
        <f t="shared" si="1"/>
        <v>7</v>
      </c>
      <c r="D18" s="59">
        <v>45241.72</v>
      </c>
      <c r="E18" s="42">
        <f t="shared" si="12"/>
        <v>190915.30000000002</v>
      </c>
      <c r="F18" s="60">
        <v>43</v>
      </c>
      <c r="G18" s="61">
        <v>28</v>
      </c>
      <c r="H18" s="26">
        <f t="shared" si="13"/>
        <v>46207</v>
      </c>
      <c r="I18" s="58">
        <f t="shared" si="2"/>
        <v>4</v>
      </c>
      <c r="J18" s="40">
        <f t="shared" si="3"/>
        <v>7</v>
      </c>
      <c r="K18" s="59">
        <v>41920.550000000003</v>
      </c>
      <c r="L18" s="42">
        <f t="shared" si="14"/>
        <v>171824.86000000002</v>
      </c>
      <c r="M18" s="60">
        <v>34</v>
      </c>
      <c r="N18" s="61">
        <v>28</v>
      </c>
      <c r="O18" s="5"/>
      <c r="P18" s="62">
        <f t="shared" si="4"/>
        <v>-3321.1699999999983</v>
      </c>
      <c r="Q18" s="63">
        <f t="shared" si="5"/>
        <v>-7.3409454812946917E-2</v>
      </c>
      <c r="R18" s="64">
        <f t="shared" si="6"/>
        <v>-19090.440000000002</v>
      </c>
      <c r="S18" s="65">
        <f t="shared" si="7"/>
        <v>-9.9994290661879925E-2</v>
      </c>
      <c r="T18" s="2"/>
      <c r="U18" s="2"/>
      <c r="V18" s="2"/>
      <c r="W18" s="5"/>
      <c r="X18" s="6"/>
      <c r="Y18" s="66">
        <v>4</v>
      </c>
      <c r="Z18" s="50">
        <f t="shared" si="8"/>
        <v>5053.6723529411765</v>
      </c>
      <c r="AA18" s="51">
        <f t="shared" si="9"/>
        <v>6136.602142857143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46208</v>
      </c>
      <c r="B19" s="58">
        <f t="shared" si="0"/>
        <v>5</v>
      </c>
      <c r="C19" s="40">
        <f t="shared" si="1"/>
        <v>1</v>
      </c>
      <c r="D19" s="59">
        <v>63858.19</v>
      </c>
      <c r="E19" s="42">
        <f t="shared" si="12"/>
        <v>254773.49000000002</v>
      </c>
      <c r="F19" s="60">
        <v>59</v>
      </c>
      <c r="G19" s="61">
        <v>35</v>
      </c>
      <c r="H19" s="26">
        <f t="shared" si="13"/>
        <v>46208</v>
      </c>
      <c r="I19" s="58">
        <f t="shared" si="2"/>
        <v>5</v>
      </c>
      <c r="J19" s="40">
        <f t="shared" si="3"/>
        <v>1</v>
      </c>
      <c r="K19" s="59">
        <v>20835.46</v>
      </c>
      <c r="L19" s="42">
        <f t="shared" si="14"/>
        <v>192660.32</v>
      </c>
      <c r="M19" s="60">
        <v>33</v>
      </c>
      <c r="N19" s="61">
        <v>19</v>
      </c>
      <c r="O19" s="5"/>
      <c r="P19" s="62">
        <f t="shared" si="4"/>
        <v>-43022.73</v>
      </c>
      <c r="Q19" s="63">
        <f t="shared" si="5"/>
        <v>-0.67372297899455025</v>
      </c>
      <c r="R19" s="64">
        <f t="shared" si="6"/>
        <v>-62113.170000000013</v>
      </c>
      <c r="S19" s="65">
        <f t="shared" si="7"/>
        <v>-0.24379761803317923</v>
      </c>
      <c r="T19" s="2"/>
      <c r="U19" s="2"/>
      <c r="V19" s="2"/>
      <c r="W19" s="5"/>
      <c r="X19" s="6"/>
      <c r="Y19" s="66">
        <v>5</v>
      </c>
      <c r="Z19" s="50">
        <f t="shared" si="8"/>
        <v>5838.191515151515</v>
      </c>
      <c r="AA19" s="51">
        <f t="shared" si="9"/>
        <v>10140.016842105264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46209</v>
      </c>
      <c r="B20" s="58">
        <f t="shared" si="0"/>
        <v>6</v>
      </c>
      <c r="C20" s="40">
        <f t="shared" si="1"/>
        <v>2</v>
      </c>
      <c r="D20" s="59">
        <v>56079.02</v>
      </c>
      <c r="E20" s="42">
        <f t="shared" si="12"/>
        <v>310852.51</v>
      </c>
      <c r="F20" s="60">
        <v>57</v>
      </c>
      <c r="G20" s="61">
        <v>41</v>
      </c>
      <c r="H20" s="26">
        <f t="shared" si="13"/>
        <v>46209</v>
      </c>
      <c r="I20" s="58">
        <f t="shared" si="2"/>
        <v>6</v>
      </c>
      <c r="J20" s="40">
        <f t="shared" si="3"/>
        <v>2</v>
      </c>
      <c r="K20" s="59">
        <v>24365.61</v>
      </c>
      <c r="L20" s="42">
        <f t="shared" si="14"/>
        <v>217025.93</v>
      </c>
      <c r="M20" s="60">
        <v>21</v>
      </c>
      <c r="N20" s="61">
        <v>16</v>
      </c>
      <c r="O20" s="5"/>
      <c r="P20" s="62">
        <f t="shared" si="4"/>
        <v>-31713.409999999996</v>
      </c>
      <c r="Q20" s="63">
        <f t="shared" si="5"/>
        <v>-0.56551291374207313</v>
      </c>
      <c r="R20" s="64">
        <f t="shared" si="6"/>
        <v>-93826.580000000016</v>
      </c>
      <c r="S20" s="65">
        <f t="shared" si="7"/>
        <v>-0.30183632745960465</v>
      </c>
      <c r="T20" s="2"/>
      <c r="U20" s="2"/>
      <c r="V20" s="2"/>
      <c r="W20" s="5"/>
      <c r="X20" s="6"/>
      <c r="Y20" s="66">
        <v>6</v>
      </c>
      <c r="Z20" s="50">
        <f t="shared" si="8"/>
        <v>10334.568095238095</v>
      </c>
      <c r="AA20" s="51">
        <f t="shared" si="9"/>
        <v>13564.120625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46210</v>
      </c>
      <c r="B21" s="58">
        <f t="shared" si="0"/>
        <v>7</v>
      </c>
      <c r="C21" s="40">
        <f t="shared" si="1"/>
        <v>3</v>
      </c>
      <c r="D21" s="59">
        <v>20699.009999999998</v>
      </c>
      <c r="E21" s="42">
        <f t="shared" si="12"/>
        <v>331551.52</v>
      </c>
      <c r="F21" s="60">
        <v>23</v>
      </c>
      <c r="G21" s="61">
        <v>15</v>
      </c>
      <c r="H21" s="26">
        <f t="shared" si="13"/>
        <v>46210</v>
      </c>
      <c r="I21" s="58">
        <f t="shared" si="2"/>
        <v>7</v>
      </c>
      <c r="J21" s="40">
        <f t="shared" si="3"/>
        <v>3</v>
      </c>
      <c r="K21" s="59">
        <v>23235.11</v>
      </c>
      <c r="L21" s="42">
        <f t="shared" si="14"/>
        <v>240261.03999999998</v>
      </c>
      <c r="M21" s="60">
        <v>22</v>
      </c>
      <c r="N21" s="61">
        <v>17</v>
      </c>
      <c r="O21" s="5"/>
      <c r="P21" s="62">
        <f t="shared" si="4"/>
        <v>2536.1000000000022</v>
      </c>
      <c r="Q21" s="63">
        <f t="shared" si="5"/>
        <v>0.12252276799711681</v>
      </c>
      <c r="R21" s="64">
        <f t="shared" si="6"/>
        <v>-91290.48000000004</v>
      </c>
      <c r="S21" s="65">
        <f t="shared" si="7"/>
        <v>-0.27534327093418254</v>
      </c>
      <c r="T21" s="2"/>
      <c r="U21" s="2"/>
      <c r="V21" s="2"/>
      <c r="W21" s="5"/>
      <c r="X21" s="6"/>
      <c r="Y21" s="66">
        <v>7</v>
      </c>
      <c r="Z21" s="50">
        <f t="shared" si="8"/>
        <v>10920.956363636362</v>
      </c>
      <c r="AA21" s="51">
        <f t="shared" si="9"/>
        <v>14133.002352941176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46211</v>
      </c>
      <c r="B22" s="58">
        <f t="shared" si="0"/>
        <v>8</v>
      </c>
      <c r="C22" s="40">
        <f t="shared" si="1"/>
        <v>4</v>
      </c>
      <c r="D22" s="59">
        <v>54226.67</v>
      </c>
      <c r="E22" s="42">
        <f t="shared" si="12"/>
        <v>385778.19</v>
      </c>
      <c r="F22" s="60">
        <v>48</v>
      </c>
      <c r="G22" s="61">
        <v>27</v>
      </c>
      <c r="H22" s="26">
        <f t="shared" si="13"/>
        <v>46211</v>
      </c>
      <c r="I22" s="58">
        <f t="shared" si="2"/>
        <v>8</v>
      </c>
      <c r="J22" s="40">
        <f t="shared" si="3"/>
        <v>4</v>
      </c>
      <c r="K22" s="59">
        <v>18045.43</v>
      </c>
      <c r="L22" s="42">
        <f t="shared" si="14"/>
        <v>258306.46999999997</v>
      </c>
      <c r="M22" s="60">
        <v>21</v>
      </c>
      <c r="N22" s="61">
        <v>18</v>
      </c>
      <c r="O22" s="5"/>
      <c r="P22" s="62">
        <f t="shared" si="4"/>
        <v>-36181.24</v>
      </c>
      <c r="Q22" s="63">
        <f t="shared" si="5"/>
        <v>-0.66722223584815366</v>
      </c>
      <c r="R22" s="64">
        <f t="shared" si="6"/>
        <v>-127471.72000000003</v>
      </c>
      <c r="S22" s="65">
        <f t="shared" si="7"/>
        <v>-0.33042749254435566</v>
      </c>
      <c r="T22" s="2"/>
      <c r="U22" s="2"/>
      <c r="V22" s="2"/>
      <c r="W22" s="5"/>
      <c r="X22" s="6"/>
      <c r="Y22" s="66">
        <v>8</v>
      </c>
      <c r="Z22" s="50">
        <f t="shared" si="8"/>
        <v>12300.308095238093</v>
      </c>
      <c r="AA22" s="51">
        <f t="shared" si="9"/>
        <v>14350.359444444442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46212</v>
      </c>
      <c r="B23" s="58">
        <f t="shared" si="0"/>
        <v>9</v>
      </c>
      <c r="C23" s="40">
        <f t="shared" si="1"/>
        <v>5</v>
      </c>
      <c r="D23" s="59">
        <v>32844.6</v>
      </c>
      <c r="E23" s="42">
        <f t="shared" si="12"/>
        <v>418622.79</v>
      </c>
      <c r="F23" s="60">
        <v>31</v>
      </c>
      <c r="G23" s="61">
        <v>20</v>
      </c>
      <c r="H23" s="26">
        <f t="shared" si="13"/>
        <v>46212</v>
      </c>
      <c r="I23" s="58">
        <f t="shared" si="2"/>
        <v>9</v>
      </c>
      <c r="J23" s="40">
        <f t="shared" si="3"/>
        <v>5</v>
      </c>
      <c r="K23" s="59">
        <v>27197.42</v>
      </c>
      <c r="L23" s="42">
        <f t="shared" si="14"/>
        <v>285503.88999999996</v>
      </c>
      <c r="M23" s="60">
        <v>28</v>
      </c>
      <c r="N23" s="61">
        <v>21</v>
      </c>
      <c r="O23" s="5"/>
      <c r="P23" s="62">
        <f t="shared" si="4"/>
        <v>-5647.18</v>
      </c>
      <c r="Q23" s="63">
        <f t="shared" si="5"/>
        <v>-0.1719363304774606</v>
      </c>
      <c r="R23" s="64">
        <f t="shared" si="6"/>
        <v>-133118.90000000002</v>
      </c>
      <c r="S23" s="65">
        <f t="shared" si="7"/>
        <v>-0.31799248196688013</v>
      </c>
      <c r="T23" s="2"/>
      <c r="U23" s="2"/>
      <c r="V23" s="2"/>
      <c r="W23" s="5"/>
      <c r="X23" s="6"/>
      <c r="Y23" s="66">
        <v>9</v>
      </c>
      <c r="Z23" s="50">
        <f t="shared" si="8"/>
        <v>10196.567499999999</v>
      </c>
      <c r="AA23" s="51">
        <f t="shared" si="9"/>
        <v>13595.42333333333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46213</v>
      </c>
      <c r="B24" s="58">
        <f t="shared" si="0"/>
        <v>10</v>
      </c>
      <c r="C24" s="40">
        <f t="shared" si="1"/>
        <v>6</v>
      </c>
      <c r="D24" s="59">
        <v>45173.16</v>
      </c>
      <c r="E24" s="42">
        <f t="shared" si="12"/>
        <v>463795.94999999995</v>
      </c>
      <c r="F24" s="60">
        <v>47</v>
      </c>
      <c r="G24" s="61">
        <v>27</v>
      </c>
      <c r="H24" s="26">
        <f t="shared" si="13"/>
        <v>46213</v>
      </c>
      <c r="I24" s="58">
        <f t="shared" si="2"/>
        <v>10</v>
      </c>
      <c r="J24" s="40">
        <f t="shared" si="3"/>
        <v>6</v>
      </c>
      <c r="K24" s="59">
        <v>25554.400000000001</v>
      </c>
      <c r="L24" s="42">
        <f t="shared" si="14"/>
        <v>311058.28999999998</v>
      </c>
      <c r="M24" s="60">
        <v>25</v>
      </c>
      <c r="N24" s="61">
        <v>18</v>
      </c>
      <c r="O24" s="5"/>
      <c r="P24" s="62">
        <f t="shared" si="4"/>
        <v>-19618.760000000002</v>
      </c>
      <c r="Q24" s="63">
        <f t="shared" si="5"/>
        <v>-0.43430125322204605</v>
      </c>
      <c r="R24" s="64">
        <f t="shared" si="6"/>
        <v>-152737.65999999997</v>
      </c>
      <c r="S24" s="65">
        <f t="shared" si="7"/>
        <v>-0.32932081446593053</v>
      </c>
      <c r="T24" s="2"/>
      <c r="U24" s="2"/>
      <c r="V24" s="2"/>
      <c r="W24" s="5"/>
      <c r="X24" s="6"/>
      <c r="Y24" s="66">
        <v>10</v>
      </c>
      <c r="Z24" s="50">
        <f t="shared" si="8"/>
        <v>12442.3316</v>
      </c>
      <c r="AA24" s="51">
        <f t="shared" si="9"/>
        <v>17281.016111111108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46214</v>
      </c>
      <c r="B25" s="58">
        <f t="shared" si="0"/>
        <v>11</v>
      </c>
      <c r="C25" s="40">
        <f t="shared" si="1"/>
        <v>7</v>
      </c>
      <c r="D25" s="59">
        <v>24382.84</v>
      </c>
      <c r="E25" s="42">
        <f t="shared" si="12"/>
        <v>488178.79</v>
      </c>
      <c r="F25" s="60">
        <v>22</v>
      </c>
      <c r="G25" s="61">
        <v>20</v>
      </c>
      <c r="H25" s="26">
        <f t="shared" si="13"/>
        <v>46214</v>
      </c>
      <c r="I25" s="58">
        <f t="shared" si="2"/>
        <v>11</v>
      </c>
      <c r="J25" s="40">
        <f t="shared" si="3"/>
        <v>7</v>
      </c>
      <c r="K25" s="59">
        <v>25480.97</v>
      </c>
      <c r="L25" s="42">
        <f t="shared" si="14"/>
        <v>336539.26</v>
      </c>
      <c r="M25" s="60">
        <v>28</v>
      </c>
      <c r="N25" s="61">
        <v>22</v>
      </c>
      <c r="O25" s="5"/>
      <c r="P25" s="62">
        <f t="shared" si="4"/>
        <v>1098.130000000001</v>
      </c>
      <c r="Q25" s="63">
        <f t="shared" si="5"/>
        <v>4.5037001432154833E-2</v>
      </c>
      <c r="R25" s="64">
        <f t="shared" si="6"/>
        <v>-151639.52999999997</v>
      </c>
      <c r="S25" s="65">
        <f t="shared" si="7"/>
        <v>-0.31062293796090568</v>
      </c>
      <c r="T25" s="2"/>
      <c r="U25" s="2"/>
      <c r="V25" s="2"/>
      <c r="W25" s="5"/>
      <c r="X25" s="6"/>
      <c r="Y25" s="66">
        <v>11</v>
      </c>
      <c r="Z25" s="50">
        <f t="shared" si="8"/>
        <v>12019.259285714286</v>
      </c>
      <c r="AA25" s="51">
        <f t="shared" si="9"/>
        <v>15297.239090909092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46215</v>
      </c>
      <c r="B26" s="58">
        <f t="shared" si="0"/>
        <v>12</v>
      </c>
      <c r="C26" s="40">
        <f t="shared" si="1"/>
        <v>1</v>
      </c>
      <c r="D26" s="59">
        <v>76418.66</v>
      </c>
      <c r="E26" s="42">
        <f t="shared" si="12"/>
        <v>564597.44999999995</v>
      </c>
      <c r="F26" s="60">
        <v>74</v>
      </c>
      <c r="G26" s="61">
        <v>40</v>
      </c>
      <c r="H26" s="26">
        <f t="shared" si="13"/>
        <v>46215</v>
      </c>
      <c r="I26" s="58">
        <f t="shared" si="2"/>
        <v>12</v>
      </c>
      <c r="J26" s="40">
        <f t="shared" si="3"/>
        <v>1</v>
      </c>
      <c r="K26" s="59">
        <v>75957.600000000006</v>
      </c>
      <c r="L26" s="42">
        <f t="shared" si="14"/>
        <v>412496.86</v>
      </c>
      <c r="M26" s="60">
        <v>72</v>
      </c>
      <c r="N26" s="61">
        <v>43</v>
      </c>
      <c r="O26" s="5"/>
      <c r="P26" s="62">
        <f t="shared" si="4"/>
        <v>-461.05999999999767</v>
      </c>
      <c r="Q26" s="63">
        <f t="shared" si="5"/>
        <v>-6.0333431651379277E-3</v>
      </c>
      <c r="R26" s="64">
        <f t="shared" si="6"/>
        <v>-152100.58999999997</v>
      </c>
      <c r="S26" s="65">
        <f t="shared" si="7"/>
        <v>-0.26939652313342888</v>
      </c>
      <c r="T26" s="2"/>
      <c r="U26" s="2"/>
      <c r="V26" s="2"/>
      <c r="W26" s="5"/>
      <c r="X26" s="6"/>
      <c r="Y26" s="66">
        <v>12</v>
      </c>
      <c r="Z26" s="50">
        <f t="shared" si="8"/>
        <v>5729.1230555555558</v>
      </c>
      <c r="AA26" s="51">
        <f t="shared" si="9"/>
        <v>9592.9502325581398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46216</v>
      </c>
      <c r="B27" s="58">
        <f t="shared" si="0"/>
        <v>13</v>
      </c>
      <c r="C27" s="40">
        <f t="shared" si="1"/>
        <v>2</v>
      </c>
      <c r="D27" s="59">
        <v>37612.870000000003</v>
      </c>
      <c r="E27" s="42">
        <f t="shared" si="12"/>
        <v>602210.31999999995</v>
      </c>
      <c r="F27" s="60">
        <v>45</v>
      </c>
      <c r="G27" s="61">
        <v>29</v>
      </c>
      <c r="H27" s="26">
        <f t="shared" si="13"/>
        <v>46216</v>
      </c>
      <c r="I27" s="58">
        <f t="shared" si="2"/>
        <v>13</v>
      </c>
      <c r="J27" s="40">
        <f t="shared" si="3"/>
        <v>2</v>
      </c>
      <c r="K27" s="59">
        <v>18428.3</v>
      </c>
      <c r="L27" s="42">
        <f t="shared" si="14"/>
        <v>430925.16</v>
      </c>
      <c r="M27" s="60">
        <v>25</v>
      </c>
      <c r="N27" s="61">
        <v>15</v>
      </c>
      <c r="O27" s="5"/>
      <c r="P27" s="62">
        <f t="shared" si="4"/>
        <v>-19184.570000000003</v>
      </c>
      <c r="Q27" s="63">
        <f t="shared" si="5"/>
        <v>-0.51005334078468367</v>
      </c>
      <c r="R27" s="64">
        <f t="shared" si="6"/>
        <v>-171285.15999999997</v>
      </c>
      <c r="S27" s="65">
        <f t="shared" si="7"/>
        <v>-0.28442747377693556</v>
      </c>
      <c r="T27" s="2"/>
      <c r="U27" s="2"/>
      <c r="V27" s="2"/>
      <c r="W27" s="5"/>
      <c r="X27" s="6"/>
      <c r="Y27" s="66">
        <v>13</v>
      </c>
      <c r="Z27" s="50">
        <f t="shared" si="8"/>
        <v>17237.006399999998</v>
      </c>
      <c r="AA27" s="51">
        <f t="shared" si="9"/>
        <v>28728.343999999997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46217</v>
      </c>
      <c r="B28" s="58">
        <f t="shared" si="0"/>
        <v>14</v>
      </c>
      <c r="C28" s="40">
        <f t="shared" si="1"/>
        <v>3</v>
      </c>
      <c r="D28" s="59">
        <v>23456.03</v>
      </c>
      <c r="E28" s="42">
        <f t="shared" si="12"/>
        <v>625666.35</v>
      </c>
      <c r="F28" s="60">
        <v>21</v>
      </c>
      <c r="G28" s="61">
        <v>14</v>
      </c>
      <c r="H28" s="26">
        <f t="shared" si="13"/>
        <v>46217</v>
      </c>
      <c r="I28" s="58">
        <f t="shared" si="2"/>
        <v>14</v>
      </c>
      <c r="J28" s="40">
        <f t="shared" si="3"/>
        <v>3</v>
      </c>
      <c r="K28" s="59">
        <v>25876.48</v>
      </c>
      <c r="L28" s="42">
        <f t="shared" si="14"/>
        <v>456801.63999999996</v>
      </c>
      <c r="M28" s="60">
        <v>34</v>
      </c>
      <c r="N28" s="61">
        <v>24</v>
      </c>
      <c r="O28" s="5"/>
      <c r="P28" s="62">
        <f t="shared" si="4"/>
        <v>2420.4500000000007</v>
      </c>
      <c r="Q28" s="63">
        <f t="shared" si="5"/>
        <v>0.10319094919302207</v>
      </c>
      <c r="R28" s="64">
        <f t="shared" si="6"/>
        <v>-168864.71000000002</v>
      </c>
      <c r="S28" s="65">
        <f t="shared" si="7"/>
        <v>-0.26989578391102542</v>
      </c>
      <c r="T28" s="2"/>
      <c r="U28" s="2"/>
      <c r="V28" s="2"/>
      <c r="W28" s="5"/>
      <c r="X28" s="6"/>
      <c r="Y28" s="66">
        <v>14</v>
      </c>
      <c r="Z28" s="50">
        <f t="shared" si="8"/>
        <v>13435.342352941176</v>
      </c>
      <c r="AA28" s="51">
        <f t="shared" si="9"/>
        <v>19033.401666666665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46218</v>
      </c>
      <c r="B29" s="58">
        <f t="shared" si="0"/>
        <v>15</v>
      </c>
      <c r="C29" s="40">
        <f t="shared" si="1"/>
        <v>4</v>
      </c>
      <c r="D29" s="59">
        <v>42487.17</v>
      </c>
      <c r="E29" s="42">
        <f t="shared" si="12"/>
        <v>668153.52</v>
      </c>
      <c r="F29" s="60">
        <v>46</v>
      </c>
      <c r="G29" s="61">
        <v>30</v>
      </c>
      <c r="H29" s="26">
        <f t="shared" si="13"/>
        <v>46218</v>
      </c>
      <c r="I29" s="58">
        <f t="shared" si="2"/>
        <v>15</v>
      </c>
      <c r="J29" s="40">
        <f t="shared" si="3"/>
        <v>4</v>
      </c>
      <c r="K29" s="59">
        <v>34108.5</v>
      </c>
      <c r="L29" s="42">
        <f t="shared" si="14"/>
        <v>490910.13999999996</v>
      </c>
      <c r="M29" s="60">
        <v>41</v>
      </c>
      <c r="N29" s="61">
        <v>25</v>
      </c>
      <c r="O29" s="5"/>
      <c r="P29" s="62">
        <f t="shared" si="4"/>
        <v>-8378.6699999999983</v>
      </c>
      <c r="Q29" s="63">
        <f t="shared" si="5"/>
        <v>-0.19720470909218002</v>
      </c>
      <c r="R29" s="64">
        <f t="shared" si="6"/>
        <v>-177243.38000000006</v>
      </c>
      <c r="S29" s="65">
        <f t="shared" si="7"/>
        <v>-0.26527343596124442</v>
      </c>
      <c r="T29" s="2"/>
      <c r="U29" s="2"/>
      <c r="V29" s="2"/>
      <c r="W29" s="5"/>
      <c r="X29" s="6"/>
      <c r="Y29" s="66">
        <v>15</v>
      </c>
      <c r="Z29" s="50">
        <f t="shared" si="8"/>
        <v>11973.418048780486</v>
      </c>
      <c r="AA29" s="51">
        <f t="shared" si="9"/>
        <v>19636.405599999998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46219</v>
      </c>
      <c r="B30" s="58">
        <f t="shared" si="0"/>
        <v>16</v>
      </c>
      <c r="C30" s="40">
        <f t="shared" si="1"/>
        <v>5</v>
      </c>
      <c r="D30" s="59">
        <v>53949.95</v>
      </c>
      <c r="E30" s="42">
        <f t="shared" si="12"/>
        <v>722103.47</v>
      </c>
      <c r="F30" s="60">
        <v>40</v>
      </c>
      <c r="G30" s="61">
        <v>23</v>
      </c>
      <c r="H30" s="26">
        <f t="shared" si="13"/>
        <v>46219</v>
      </c>
      <c r="I30" s="58">
        <f t="shared" si="2"/>
        <v>16</v>
      </c>
      <c r="J30" s="40">
        <f t="shared" si="3"/>
        <v>5</v>
      </c>
      <c r="K30" s="59">
        <v>45869.25</v>
      </c>
      <c r="L30" s="42">
        <f t="shared" si="14"/>
        <v>536779.3899999999</v>
      </c>
      <c r="M30" s="60">
        <v>45</v>
      </c>
      <c r="N30" s="61">
        <v>23</v>
      </c>
      <c r="O30" s="5"/>
      <c r="P30" s="62">
        <f t="shared" si="4"/>
        <v>-8080.6999999999971</v>
      </c>
      <c r="Q30" s="63">
        <f t="shared" si="5"/>
        <v>-0.14978141777703213</v>
      </c>
      <c r="R30" s="64">
        <f t="shared" si="6"/>
        <v>-185324.08000000007</v>
      </c>
      <c r="S30" s="65">
        <f t="shared" si="7"/>
        <v>-0.25664477142036179</v>
      </c>
      <c r="T30" s="2"/>
      <c r="U30" s="2"/>
      <c r="V30" s="2"/>
      <c r="W30" s="5"/>
      <c r="X30" s="6"/>
      <c r="Y30" s="66">
        <v>16</v>
      </c>
      <c r="Z30" s="50">
        <f t="shared" si="8"/>
        <v>11928.430888888886</v>
      </c>
      <c r="AA30" s="51">
        <f t="shared" si="9"/>
        <v>23338.234347826081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46220</v>
      </c>
      <c r="B31" s="58">
        <f t="shared" si="0"/>
        <v>17</v>
      </c>
      <c r="C31" s="40">
        <f t="shared" si="1"/>
        <v>6</v>
      </c>
      <c r="D31" s="59">
        <v>37177.699999999997</v>
      </c>
      <c r="E31" s="42">
        <f t="shared" si="12"/>
        <v>759281.16999999993</v>
      </c>
      <c r="F31" s="60">
        <v>35</v>
      </c>
      <c r="G31" s="61">
        <v>17</v>
      </c>
      <c r="H31" s="26">
        <f t="shared" si="13"/>
        <v>46220</v>
      </c>
      <c r="I31" s="58">
        <f t="shared" si="2"/>
        <v>17</v>
      </c>
      <c r="J31" s="40">
        <f t="shared" si="3"/>
        <v>6</v>
      </c>
      <c r="K31" s="59">
        <v>36052.54</v>
      </c>
      <c r="L31" s="42">
        <f t="shared" si="14"/>
        <v>572831.92999999993</v>
      </c>
      <c r="M31" s="60">
        <v>40</v>
      </c>
      <c r="N31" s="61">
        <v>27</v>
      </c>
      <c r="O31" s="5"/>
      <c r="P31" s="62">
        <f t="shared" si="4"/>
        <v>-1125.1599999999962</v>
      </c>
      <c r="Q31" s="63">
        <f t="shared" si="5"/>
        <v>-3.0264378915317414E-2</v>
      </c>
      <c r="R31" s="64">
        <f t="shared" si="6"/>
        <v>-186449.24</v>
      </c>
      <c r="S31" s="65">
        <f t="shared" si="7"/>
        <v>-0.24556020531893341</v>
      </c>
      <c r="T31" s="2"/>
      <c r="U31" s="2"/>
      <c r="V31" s="2"/>
      <c r="W31" s="5"/>
      <c r="X31" s="6"/>
      <c r="Y31" s="66">
        <v>17</v>
      </c>
      <c r="Z31" s="50">
        <f t="shared" si="8"/>
        <v>14320.798249999998</v>
      </c>
      <c r="AA31" s="51">
        <f t="shared" si="9"/>
        <v>21215.997407407405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46221</v>
      </c>
      <c r="B32" s="58">
        <f t="shared" si="0"/>
        <v>18</v>
      </c>
      <c r="C32" s="40">
        <f t="shared" si="1"/>
        <v>7</v>
      </c>
      <c r="D32" s="59">
        <v>39519.1</v>
      </c>
      <c r="E32" s="42">
        <f t="shared" si="12"/>
        <v>798800.2699999999</v>
      </c>
      <c r="F32" s="60">
        <v>43</v>
      </c>
      <c r="G32" s="61">
        <v>24</v>
      </c>
      <c r="H32" s="26">
        <f t="shared" si="13"/>
        <v>46221</v>
      </c>
      <c r="I32" s="58">
        <f t="shared" si="2"/>
        <v>18</v>
      </c>
      <c r="J32" s="40">
        <f t="shared" si="3"/>
        <v>7</v>
      </c>
      <c r="K32" s="59">
        <v>60696.68</v>
      </c>
      <c r="L32" s="42">
        <f t="shared" si="14"/>
        <v>633528.61</v>
      </c>
      <c r="M32" s="60">
        <v>58</v>
      </c>
      <c r="N32" s="61">
        <v>34</v>
      </c>
      <c r="O32" s="5"/>
      <c r="P32" s="62">
        <f t="shared" si="4"/>
        <v>21177.58</v>
      </c>
      <c r="Q32" s="63">
        <f t="shared" si="5"/>
        <v>0.53588214306499893</v>
      </c>
      <c r="R32" s="64">
        <f t="shared" si="6"/>
        <v>-165271.65999999992</v>
      </c>
      <c r="S32" s="65">
        <f t="shared" si="7"/>
        <v>-0.20689985495372942</v>
      </c>
      <c r="T32" s="2"/>
      <c r="U32" s="2"/>
      <c r="V32" s="2"/>
      <c r="W32" s="5"/>
      <c r="X32" s="6"/>
      <c r="Y32" s="66">
        <v>18</v>
      </c>
      <c r="Z32" s="50">
        <f t="shared" si="8"/>
        <v>10922.907068965516</v>
      </c>
      <c r="AA32" s="51">
        <f t="shared" si="9"/>
        <v>18633.194411764707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46222</v>
      </c>
      <c r="B33" s="58">
        <f t="shared" si="0"/>
        <v>19</v>
      </c>
      <c r="C33" s="40">
        <f t="shared" si="1"/>
        <v>1</v>
      </c>
      <c r="D33" s="59">
        <v>54187.7</v>
      </c>
      <c r="E33" s="42">
        <f t="shared" si="12"/>
        <v>852987.96999999986</v>
      </c>
      <c r="F33" s="60">
        <v>50</v>
      </c>
      <c r="G33" s="61">
        <v>32</v>
      </c>
      <c r="H33" s="26">
        <f t="shared" si="13"/>
        <v>46222</v>
      </c>
      <c r="I33" s="58">
        <f t="shared" si="2"/>
        <v>19</v>
      </c>
      <c r="J33" s="40">
        <f t="shared" si="3"/>
        <v>1</v>
      </c>
      <c r="K33" s="59">
        <v>37152.85</v>
      </c>
      <c r="L33" s="42">
        <f t="shared" si="14"/>
        <v>670681.46</v>
      </c>
      <c r="M33" s="60">
        <v>38</v>
      </c>
      <c r="N33" s="61">
        <v>26</v>
      </c>
      <c r="O33" s="5"/>
      <c r="P33" s="62">
        <f t="shared" si="4"/>
        <v>-17034.849999999999</v>
      </c>
      <c r="Q33" s="63">
        <f t="shared" si="5"/>
        <v>-0.31436746715583053</v>
      </c>
      <c r="R33" s="64">
        <f t="shared" si="6"/>
        <v>-182306.50999999989</v>
      </c>
      <c r="S33" s="65">
        <f t="shared" si="7"/>
        <v>-0.21372694154174288</v>
      </c>
      <c r="T33" s="2"/>
      <c r="U33" s="2"/>
      <c r="V33" s="2"/>
      <c r="W33" s="5"/>
      <c r="X33" s="6"/>
      <c r="Y33" s="66">
        <v>19</v>
      </c>
      <c r="Z33" s="50">
        <f t="shared" si="8"/>
        <v>17649.512105263158</v>
      </c>
      <c r="AA33" s="51">
        <f t="shared" si="9"/>
        <v>25795.440769230769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46223</v>
      </c>
      <c r="B34" s="58">
        <f t="shared" si="0"/>
        <v>20</v>
      </c>
      <c r="C34" s="40">
        <f t="shared" si="1"/>
        <v>2</v>
      </c>
      <c r="D34" s="59">
        <v>39454.18</v>
      </c>
      <c r="E34" s="42">
        <f t="shared" si="12"/>
        <v>892442.14999999991</v>
      </c>
      <c r="F34" s="60">
        <v>40</v>
      </c>
      <c r="G34" s="61">
        <v>27</v>
      </c>
      <c r="H34" s="26">
        <f t="shared" si="13"/>
        <v>46223</v>
      </c>
      <c r="I34" s="58">
        <f t="shared" si="2"/>
        <v>20</v>
      </c>
      <c r="J34" s="40">
        <f t="shared" si="3"/>
        <v>2</v>
      </c>
      <c r="K34" s="59">
        <v>46330.239999999998</v>
      </c>
      <c r="L34" s="42">
        <f t="shared" si="14"/>
        <v>717011.7</v>
      </c>
      <c r="M34" s="60">
        <v>42</v>
      </c>
      <c r="N34" s="61">
        <v>25</v>
      </c>
      <c r="O34" s="5"/>
      <c r="P34" s="62">
        <f t="shared" si="4"/>
        <v>6876.0599999999977</v>
      </c>
      <c r="Q34" s="63">
        <f t="shared" si="5"/>
        <v>0.17427963272839531</v>
      </c>
      <c r="R34" s="64">
        <f t="shared" si="6"/>
        <v>-175430.44999999995</v>
      </c>
      <c r="S34" s="65">
        <f t="shared" si="7"/>
        <v>-0.19657346977616419</v>
      </c>
      <c r="T34" s="2"/>
      <c r="U34" s="2"/>
      <c r="V34" s="2"/>
      <c r="W34" s="5"/>
      <c r="X34" s="6"/>
      <c r="Y34" s="66">
        <v>20</v>
      </c>
      <c r="Z34" s="50">
        <f t="shared" si="8"/>
        <v>17071.707142857143</v>
      </c>
      <c r="AA34" s="51">
        <f t="shared" si="9"/>
        <v>28680.467999999997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46224</v>
      </c>
      <c r="B35" s="58">
        <f t="shared" si="0"/>
        <v>21</v>
      </c>
      <c r="C35" s="40">
        <f t="shared" si="1"/>
        <v>3</v>
      </c>
      <c r="D35" s="59">
        <v>34141.129999999997</v>
      </c>
      <c r="E35" s="42">
        <f t="shared" si="12"/>
        <v>926583.27999999991</v>
      </c>
      <c r="F35" s="60">
        <v>38</v>
      </c>
      <c r="G35" s="61">
        <v>26</v>
      </c>
      <c r="H35" s="26">
        <f t="shared" si="13"/>
        <v>46224</v>
      </c>
      <c r="I35" s="58">
        <f t="shared" si="2"/>
        <v>21</v>
      </c>
      <c r="J35" s="40">
        <f t="shared" si="3"/>
        <v>3</v>
      </c>
      <c r="K35" s="59">
        <v>31453.53</v>
      </c>
      <c r="L35" s="42">
        <f t="shared" si="14"/>
        <v>748465.23</v>
      </c>
      <c r="M35" s="60">
        <v>31</v>
      </c>
      <c r="N35" s="61">
        <v>22</v>
      </c>
      <c r="O35" s="5"/>
      <c r="P35" s="62">
        <f t="shared" si="4"/>
        <v>-2687.5999999999985</v>
      </c>
      <c r="Q35" s="63">
        <f t="shared" si="5"/>
        <v>-7.8720300118947373E-2</v>
      </c>
      <c r="R35" s="64">
        <f t="shared" si="6"/>
        <v>-178118.04999999993</v>
      </c>
      <c r="S35" s="65">
        <f t="shared" si="7"/>
        <v>-0.19223102104756296</v>
      </c>
      <c r="T35" s="2"/>
      <c r="U35" s="2"/>
      <c r="V35" s="2"/>
      <c r="W35" s="5"/>
      <c r="X35" s="6"/>
      <c r="Y35" s="66">
        <v>21</v>
      </c>
      <c r="Z35" s="50">
        <f t="shared" si="8"/>
        <v>24144.039677419354</v>
      </c>
      <c r="AA35" s="51">
        <f t="shared" si="9"/>
        <v>34021.14681818182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46225</v>
      </c>
      <c r="B36" s="58">
        <f t="shared" si="0"/>
        <v>22</v>
      </c>
      <c r="C36" s="40">
        <f t="shared" si="1"/>
        <v>4</v>
      </c>
      <c r="D36" s="59">
        <v>42761.66</v>
      </c>
      <c r="E36" s="42">
        <f t="shared" si="12"/>
        <v>969344.94</v>
      </c>
      <c r="F36" s="60">
        <v>39</v>
      </c>
      <c r="G36" s="61">
        <v>30</v>
      </c>
      <c r="H36" s="26">
        <f t="shared" si="13"/>
        <v>46225</v>
      </c>
      <c r="I36" s="58">
        <f t="shared" si="2"/>
        <v>22</v>
      </c>
      <c r="J36" s="40">
        <f t="shared" si="3"/>
        <v>4</v>
      </c>
      <c r="K36" s="59">
        <v>25290.18</v>
      </c>
      <c r="L36" s="42">
        <f t="shared" si="14"/>
        <v>773755.41</v>
      </c>
      <c r="M36" s="60">
        <v>32</v>
      </c>
      <c r="N36" s="61">
        <v>19</v>
      </c>
      <c r="O36" s="5"/>
      <c r="P36" s="62">
        <f t="shared" si="4"/>
        <v>-17471.480000000003</v>
      </c>
      <c r="Q36" s="63">
        <f t="shared" si="5"/>
        <v>-0.40857815154977617</v>
      </c>
      <c r="R36" s="64">
        <f t="shared" si="6"/>
        <v>-195589.52999999991</v>
      </c>
      <c r="S36" s="65">
        <f t="shared" si="7"/>
        <v>-0.20177495329990569</v>
      </c>
      <c r="T36" s="2"/>
      <c r="U36" s="2"/>
      <c r="V36" s="2"/>
      <c r="W36" s="5"/>
      <c r="X36" s="6"/>
      <c r="Y36" s="66">
        <v>22</v>
      </c>
      <c r="Z36" s="50">
        <f t="shared" si="8"/>
        <v>24179.856562500001</v>
      </c>
      <c r="AA36" s="51">
        <f t="shared" si="9"/>
        <v>40723.968947368419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46226</v>
      </c>
      <c r="B37" s="58">
        <f t="shared" si="0"/>
        <v>23</v>
      </c>
      <c r="C37" s="40">
        <f t="shared" si="1"/>
        <v>5</v>
      </c>
      <c r="D37" s="59">
        <v>40791.040000000001</v>
      </c>
      <c r="E37" s="42">
        <f t="shared" si="12"/>
        <v>1010135.98</v>
      </c>
      <c r="F37" s="60">
        <v>32</v>
      </c>
      <c r="G37" s="61">
        <v>22</v>
      </c>
      <c r="H37" s="26">
        <f t="shared" si="13"/>
        <v>46226</v>
      </c>
      <c r="I37" s="58">
        <f t="shared" si="2"/>
        <v>23</v>
      </c>
      <c r="J37" s="40">
        <f t="shared" si="3"/>
        <v>5</v>
      </c>
      <c r="K37" s="59">
        <v>31804.59</v>
      </c>
      <c r="L37" s="42">
        <f t="shared" si="14"/>
        <v>805560</v>
      </c>
      <c r="M37" s="60">
        <v>32</v>
      </c>
      <c r="N37" s="61">
        <v>24</v>
      </c>
      <c r="O37" s="5"/>
      <c r="P37" s="62">
        <f t="shared" si="4"/>
        <v>-8986.4500000000007</v>
      </c>
      <c r="Q37" s="63">
        <f t="shared" si="5"/>
        <v>-0.2203045080488264</v>
      </c>
      <c r="R37" s="64">
        <f t="shared" si="6"/>
        <v>-204575.97999999998</v>
      </c>
      <c r="S37" s="65">
        <f t="shared" si="7"/>
        <v>-0.20252320880600649</v>
      </c>
      <c r="T37" s="2"/>
      <c r="U37" s="2"/>
      <c r="V37" s="2"/>
      <c r="W37" s="5"/>
      <c r="X37" s="6"/>
      <c r="Y37" s="66">
        <v>23</v>
      </c>
      <c r="Z37" s="50">
        <f t="shared" si="8"/>
        <v>25173.75</v>
      </c>
      <c r="AA37" s="51">
        <f t="shared" si="9"/>
        <v>33565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46227</v>
      </c>
      <c r="B38" s="58">
        <f t="shared" si="0"/>
        <v>24</v>
      </c>
      <c r="C38" s="40">
        <f t="shared" si="1"/>
        <v>6</v>
      </c>
      <c r="D38" s="59">
        <v>29375.25</v>
      </c>
      <c r="E38" s="42">
        <f t="shared" si="12"/>
        <v>1039511.23</v>
      </c>
      <c r="F38" s="60">
        <v>32</v>
      </c>
      <c r="G38" s="61">
        <v>19</v>
      </c>
      <c r="H38" s="26">
        <f t="shared" si="13"/>
        <v>46227</v>
      </c>
      <c r="I38" s="58">
        <f t="shared" si="2"/>
        <v>24</v>
      </c>
      <c r="J38" s="40">
        <f t="shared" si="3"/>
        <v>6</v>
      </c>
      <c r="K38" s="59">
        <v>39439.53</v>
      </c>
      <c r="L38" s="42">
        <f t="shared" si="14"/>
        <v>844999.53</v>
      </c>
      <c r="M38" s="60">
        <v>36</v>
      </c>
      <c r="N38" s="61">
        <v>24</v>
      </c>
      <c r="O38" s="5"/>
      <c r="P38" s="62">
        <f t="shared" si="4"/>
        <v>10064.279999999999</v>
      </c>
      <c r="Q38" s="63">
        <f t="shared" si="5"/>
        <v>0.34261087139683921</v>
      </c>
      <c r="R38" s="64">
        <f t="shared" si="6"/>
        <v>-194511.69999999995</v>
      </c>
      <c r="S38" s="65">
        <f t="shared" si="7"/>
        <v>-0.18711842102946785</v>
      </c>
      <c r="T38" s="2"/>
      <c r="U38" s="2"/>
      <c r="V38" s="2"/>
      <c r="W38" s="5"/>
      <c r="X38" s="6"/>
      <c r="Y38" s="66">
        <v>24</v>
      </c>
      <c r="Z38" s="50">
        <f t="shared" si="8"/>
        <v>23472.209166666667</v>
      </c>
      <c r="AA38" s="51">
        <f t="shared" si="9"/>
        <v>35208.313750000001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46228</v>
      </c>
      <c r="B39" s="58">
        <f t="shared" si="0"/>
        <v>25</v>
      </c>
      <c r="C39" s="40">
        <f t="shared" si="1"/>
        <v>7</v>
      </c>
      <c r="D39" s="59">
        <v>45420.74</v>
      </c>
      <c r="E39" s="42">
        <f t="shared" si="12"/>
        <v>1084931.97</v>
      </c>
      <c r="F39" s="60">
        <v>52</v>
      </c>
      <c r="G39" s="61">
        <v>26</v>
      </c>
      <c r="H39" s="26">
        <f t="shared" si="13"/>
        <v>46228</v>
      </c>
      <c r="I39" s="58">
        <f t="shared" si="2"/>
        <v>25</v>
      </c>
      <c r="J39" s="40">
        <f t="shared" si="3"/>
        <v>7</v>
      </c>
      <c r="K39" s="59">
        <v>41367.17</v>
      </c>
      <c r="L39" s="42">
        <f t="shared" si="14"/>
        <v>886366.70000000007</v>
      </c>
      <c r="M39" s="60">
        <v>44</v>
      </c>
      <c r="N39" s="61">
        <v>29</v>
      </c>
      <c r="O39" s="5"/>
      <c r="P39" s="62">
        <f t="shared" si="4"/>
        <v>-4053.5699999999997</v>
      </c>
      <c r="Q39" s="63">
        <f t="shared" si="5"/>
        <v>-8.9244913226865119E-2</v>
      </c>
      <c r="R39" s="64">
        <f t="shared" si="6"/>
        <v>-198565.2699999999</v>
      </c>
      <c r="S39" s="65">
        <f t="shared" si="7"/>
        <v>-0.183020940935126</v>
      </c>
      <c r="T39" s="2"/>
      <c r="U39" s="2"/>
      <c r="V39" s="2"/>
      <c r="W39" s="5"/>
      <c r="X39" s="6"/>
      <c r="Y39" s="66">
        <v>25</v>
      </c>
      <c r="Z39" s="50">
        <f t="shared" si="8"/>
        <v>20144.697727272727</v>
      </c>
      <c r="AA39" s="51">
        <f t="shared" si="9"/>
        <v>30564.368965517242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46229</v>
      </c>
      <c r="B40" s="58">
        <f t="shared" si="0"/>
        <v>26</v>
      </c>
      <c r="C40" s="40">
        <f t="shared" si="1"/>
        <v>1</v>
      </c>
      <c r="D40" s="59">
        <v>67877.86</v>
      </c>
      <c r="E40" s="42">
        <f t="shared" si="12"/>
        <v>1152809.83</v>
      </c>
      <c r="F40" s="60">
        <v>71</v>
      </c>
      <c r="G40" s="61">
        <v>47</v>
      </c>
      <c r="H40" s="26">
        <f t="shared" si="13"/>
        <v>46229</v>
      </c>
      <c r="I40" s="58">
        <f t="shared" si="2"/>
        <v>26</v>
      </c>
      <c r="J40" s="40">
        <f t="shared" si="3"/>
        <v>1</v>
      </c>
      <c r="K40" s="59">
        <v>57792.4</v>
      </c>
      <c r="L40" s="42">
        <f t="shared" si="14"/>
        <v>944159.10000000009</v>
      </c>
      <c r="M40" s="60">
        <v>66</v>
      </c>
      <c r="N40" s="61">
        <v>40</v>
      </c>
      <c r="O40" s="5"/>
      <c r="P40" s="62">
        <f t="shared" si="4"/>
        <v>-10085.459999999999</v>
      </c>
      <c r="Q40" s="63">
        <f t="shared" si="5"/>
        <v>-0.14858246856928015</v>
      </c>
      <c r="R40" s="64">
        <f t="shared" si="6"/>
        <v>-208650.72999999998</v>
      </c>
      <c r="S40" s="65">
        <f t="shared" si="7"/>
        <v>-0.18099319121871127</v>
      </c>
      <c r="T40" s="2"/>
      <c r="U40" s="2"/>
      <c r="V40" s="2"/>
      <c r="W40" s="5"/>
      <c r="X40" s="6"/>
      <c r="Y40" s="66">
        <v>26</v>
      </c>
      <c r="Z40" s="50">
        <f t="shared" si="8"/>
        <v>14305.44090909091</v>
      </c>
      <c r="AA40" s="51">
        <f t="shared" si="9"/>
        <v>23603.977500000001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46230</v>
      </c>
      <c r="B41" s="58">
        <f t="shared" si="0"/>
        <v>27</v>
      </c>
      <c r="C41" s="40">
        <f t="shared" si="1"/>
        <v>2</v>
      </c>
      <c r="D41" s="59">
        <v>53426.23</v>
      </c>
      <c r="E41" s="42">
        <f t="shared" si="12"/>
        <v>1206236.06</v>
      </c>
      <c r="F41" s="60">
        <v>66</v>
      </c>
      <c r="G41" s="61">
        <v>36</v>
      </c>
      <c r="H41" s="26">
        <f t="shared" si="13"/>
        <v>46230</v>
      </c>
      <c r="I41" s="58">
        <f t="shared" si="2"/>
        <v>27</v>
      </c>
      <c r="J41" s="40">
        <f t="shared" si="3"/>
        <v>2</v>
      </c>
      <c r="K41" s="59">
        <v>44083.8</v>
      </c>
      <c r="L41" s="42">
        <f t="shared" si="14"/>
        <v>988242.90000000014</v>
      </c>
      <c r="M41" s="60">
        <v>31</v>
      </c>
      <c r="N41" s="61">
        <v>21</v>
      </c>
      <c r="O41" s="5"/>
      <c r="P41" s="62">
        <f t="shared" si="4"/>
        <v>-9342.43</v>
      </c>
      <c r="Q41" s="63">
        <f t="shared" si="5"/>
        <v>-0.17486597875238441</v>
      </c>
      <c r="R41" s="64">
        <f t="shared" si="6"/>
        <v>-217993.15999999992</v>
      </c>
      <c r="S41" s="65">
        <f t="shared" si="7"/>
        <v>-0.18072180664205972</v>
      </c>
      <c r="T41" s="2"/>
      <c r="U41" s="2"/>
      <c r="V41" s="2"/>
      <c r="W41" s="5"/>
      <c r="X41" s="6"/>
      <c r="Y41" s="66">
        <v>27</v>
      </c>
      <c r="Z41" s="50">
        <f t="shared" si="8"/>
        <v>31878.803225806456</v>
      </c>
      <c r="AA41" s="51">
        <f t="shared" si="9"/>
        <v>47059.185714285719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46231</v>
      </c>
      <c r="B42" s="58">
        <f t="shared" si="0"/>
        <v>28</v>
      </c>
      <c r="C42" s="40">
        <f t="shared" si="1"/>
        <v>3</v>
      </c>
      <c r="D42" s="59">
        <v>34602.6</v>
      </c>
      <c r="E42" s="42">
        <f t="shared" si="12"/>
        <v>1240838.6600000001</v>
      </c>
      <c r="F42" s="60">
        <v>40</v>
      </c>
      <c r="G42" s="61">
        <v>18</v>
      </c>
      <c r="H42" s="26">
        <f t="shared" si="13"/>
        <v>46231</v>
      </c>
      <c r="I42" s="58">
        <f t="shared" si="2"/>
        <v>28</v>
      </c>
      <c r="J42" s="40">
        <f t="shared" si="3"/>
        <v>3</v>
      </c>
      <c r="K42" s="59">
        <v>15734.38</v>
      </c>
      <c r="L42" s="42">
        <f t="shared" si="14"/>
        <v>1003977.2800000001</v>
      </c>
      <c r="M42" s="60">
        <v>22</v>
      </c>
      <c r="N42" s="61">
        <v>16</v>
      </c>
      <c r="O42" s="5"/>
      <c r="P42" s="62">
        <f t="shared" si="4"/>
        <v>-18868.22</v>
      </c>
      <c r="Q42" s="63">
        <f t="shared" si="5"/>
        <v>-0.54528330241080147</v>
      </c>
      <c r="R42" s="64">
        <f t="shared" si="6"/>
        <v>-236861.38</v>
      </c>
      <c r="S42" s="65">
        <f t="shared" si="7"/>
        <v>-0.19088813689928064</v>
      </c>
      <c r="T42" s="2"/>
      <c r="U42" s="2"/>
      <c r="V42" s="2"/>
      <c r="W42" s="5"/>
      <c r="X42" s="6"/>
      <c r="Y42" s="66">
        <v>28</v>
      </c>
      <c r="Z42" s="50">
        <f t="shared" si="8"/>
        <v>45635.330909090917</v>
      </c>
      <c r="AA42" s="51">
        <f t="shared" si="9"/>
        <v>62748.580000000009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46232</v>
      </c>
      <c r="B43" s="58">
        <f t="shared" si="0"/>
        <v>29</v>
      </c>
      <c r="C43" s="40">
        <f t="shared" si="1"/>
        <v>4</v>
      </c>
      <c r="D43" s="59">
        <v>16352.57</v>
      </c>
      <c r="E43" s="42">
        <f t="shared" si="12"/>
        <v>1257191.2300000002</v>
      </c>
      <c r="F43" s="60">
        <v>22</v>
      </c>
      <c r="G43" s="61">
        <v>16</v>
      </c>
      <c r="H43" s="26">
        <f t="shared" si="13"/>
        <v>46232</v>
      </c>
      <c r="I43" s="58">
        <f t="shared" si="2"/>
        <v>29</v>
      </c>
      <c r="J43" s="40">
        <f t="shared" si="3"/>
        <v>4</v>
      </c>
      <c r="K43" s="59">
        <v>36115.49</v>
      </c>
      <c r="L43" s="42">
        <f t="shared" si="14"/>
        <v>1040092.7700000001</v>
      </c>
      <c r="M43" s="60">
        <v>29</v>
      </c>
      <c r="N43" s="61">
        <v>20</v>
      </c>
      <c r="O43" s="5"/>
      <c r="P43" s="62">
        <f t="shared" si="4"/>
        <v>19762.919999999998</v>
      </c>
      <c r="Q43" s="63">
        <f t="shared" si="5"/>
        <v>1.2085513163985842</v>
      </c>
      <c r="R43" s="64">
        <f t="shared" si="6"/>
        <v>-217098.46000000008</v>
      </c>
      <c r="S43" s="65">
        <f t="shared" si="7"/>
        <v>-0.17268531216209648</v>
      </c>
      <c r="T43" s="2"/>
      <c r="U43" s="2"/>
      <c r="V43" s="2"/>
      <c r="W43" s="5"/>
      <c r="X43" s="6"/>
      <c r="Y43" s="66">
        <v>29</v>
      </c>
      <c r="Z43" s="50">
        <f t="shared" si="8"/>
        <v>35865.26793103449</v>
      </c>
      <c r="AA43" s="51">
        <f t="shared" si="9"/>
        <v>52004.638500000008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46233</v>
      </c>
      <c r="B44" s="58">
        <f t="shared" si="0"/>
        <v>30</v>
      </c>
      <c r="C44" s="40">
        <f t="shared" si="1"/>
        <v>5</v>
      </c>
      <c r="D44" s="59">
        <v>24266.48</v>
      </c>
      <c r="E44" s="42">
        <f t="shared" si="12"/>
        <v>1281457.7100000002</v>
      </c>
      <c r="F44" s="60">
        <v>26</v>
      </c>
      <c r="G44" s="61">
        <v>16</v>
      </c>
      <c r="H44" s="26">
        <f t="shared" si="13"/>
        <v>46233</v>
      </c>
      <c r="I44" s="58">
        <f t="shared" si="2"/>
        <v>30</v>
      </c>
      <c r="J44" s="40">
        <f t="shared" si="3"/>
        <v>5</v>
      </c>
      <c r="K44" s="59">
        <v>27362.84</v>
      </c>
      <c r="L44" s="42">
        <f t="shared" si="14"/>
        <v>1067455.6100000001</v>
      </c>
      <c r="M44" s="60">
        <v>32</v>
      </c>
      <c r="N44" s="61">
        <v>18</v>
      </c>
      <c r="O44" s="5"/>
      <c r="P44" s="62">
        <f t="shared" si="4"/>
        <v>3096.3600000000006</v>
      </c>
      <c r="Q44" s="63">
        <f t="shared" si="5"/>
        <v>0.12759823427213179</v>
      </c>
      <c r="R44" s="64">
        <f t="shared" si="6"/>
        <v>-214002.10000000009</v>
      </c>
      <c r="S44" s="65">
        <f t="shared" si="7"/>
        <v>-0.16699895621214067</v>
      </c>
      <c r="T44" s="2"/>
      <c r="U44" s="2"/>
      <c r="V44" s="2"/>
      <c r="W44" s="5"/>
      <c r="X44" s="6"/>
      <c r="Y44" s="66">
        <v>30</v>
      </c>
      <c r="Z44" s="50">
        <f t="shared" si="8"/>
        <v>33357.987812500003</v>
      </c>
      <c r="AA44" s="51">
        <f t="shared" si="9"/>
        <v>59303.089444444449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46234</v>
      </c>
      <c r="B45" s="74">
        <f t="shared" si="0"/>
        <v>31</v>
      </c>
      <c r="C45" s="75">
        <f t="shared" si="1"/>
        <v>6</v>
      </c>
      <c r="D45" s="76">
        <v>43739.93</v>
      </c>
      <c r="E45" s="77">
        <f t="shared" si="12"/>
        <v>1325197.6400000001</v>
      </c>
      <c r="F45" s="78">
        <v>50</v>
      </c>
      <c r="G45" s="79">
        <v>29</v>
      </c>
      <c r="H45" s="26">
        <f t="shared" si="13"/>
        <v>46234</v>
      </c>
      <c r="I45" s="74">
        <f t="shared" si="2"/>
        <v>31</v>
      </c>
      <c r="J45" s="40">
        <f t="shared" si="3"/>
        <v>6</v>
      </c>
      <c r="K45" s="76">
        <v>47656.39</v>
      </c>
      <c r="L45" s="77">
        <f t="shared" si="14"/>
        <v>1115112</v>
      </c>
      <c r="M45" s="78">
        <v>44</v>
      </c>
      <c r="N45" s="79">
        <v>33</v>
      </c>
      <c r="O45" s="5"/>
      <c r="P45" s="80">
        <f t="shared" si="4"/>
        <v>3916.4599999999991</v>
      </c>
      <c r="Q45" s="81">
        <f t="shared" si="5"/>
        <v>8.9539695193842306E-2</v>
      </c>
      <c r="R45" s="82">
        <f t="shared" si="6"/>
        <v>-210085.64000000013</v>
      </c>
      <c r="S45" s="83">
        <f t="shared" si="7"/>
        <v>-0.15853155307460409</v>
      </c>
      <c r="T45" s="2"/>
      <c r="U45" s="2"/>
      <c r="V45" s="2"/>
      <c r="W45" s="5"/>
      <c r="X45" s="6"/>
      <c r="Y45" s="84">
        <v>31</v>
      </c>
      <c r="Z45" s="50">
        <f t="shared" si="8"/>
        <v>25343.454545454544</v>
      </c>
      <c r="AA45" s="51">
        <f t="shared" si="9"/>
        <v>33791.272727272728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1325</v>
      </c>
      <c r="G46" s="89">
        <f t="shared" si="45"/>
        <v>813</v>
      </c>
      <c r="H46" s="2"/>
      <c r="I46" s="2"/>
      <c r="J46" s="2"/>
      <c r="K46" s="2" t="s">
        <v>57</v>
      </c>
      <c r="L46" s="2"/>
      <c r="M46" s="89">
        <f t="shared" ref="M46:N46" si="46">SUM(M15:M45)</f>
        <v>1114</v>
      </c>
      <c r="N46" s="89">
        <f t="shared" si="46"/>
        <v>742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1502.8463611859838</v>
      </c>
      <c r="AA46" s="92">
        <f>IFERROR(M46/N46,0)</f>
        <v>1.5013477088948788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1325197.6400000001</v>
      </c>
      <c r="F47" s="97"/>
      <c r="G47" s="97"/>
      <c r="H47" s="98"/>
      <c r="I47" s="129" t="s">
        <v>40</v>
      </c>
      <c r="J47" s="130"/>
      <c r="K47" s="96">
        <f>SUM(K15:K45)</f>
        <v>1115112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1537229.2624000001</v>
      </c>
      <c r="F48" s="97"/>
      <c r="G48" s="97"/>
      <c r="H48" s="104"/>
      <c r="I48" s="129" t="s">
        <v>43</v>
      </c>
      <c r="J48" s="130"/>
      <c r="K48" s="103">
        <f>K47*1.16</f>
        <v>1293529.92</v>
      </c>
      <c r="L48" s="105" t="s">
        <v>44</v>
      </c>
      <c r="M48" s="106"/>
      <c r="N48" s="106"/>
      <c r="O48" s="106"/>
      <c r="P48" s="106"/>
      <c r="Q48" s="106"/>
      <c r="R48" s="107">
        <f>K47-E47</f>
        <v>-210085.64000000013</v>
      </c>
      <c r="S48" s="108">
        <f>IFERROR(+K47/E47-1,0)</f>
        <v>-0.15853155307460409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58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-1115112</v>
      </c>
      <c r="BN49" s="113">
        <f t="shared" ref="BN49:BO49" si="48">+BN46-M46</f>
        <v>-1114</v>
      </c>
      <c r="BO49" s="114">
        <f t="shared" si="48"/>
        <v>-742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35" priority="1" operator="lessThan">
      <formula>0</formula>
    </cfRule>
  </conditionalFormatting>
  <conditionalFormatting sqref="E47:G48 K47:K48">
    <cfRule type="cellIs" dxfId="34" priority="2" operator="lessThan">
      <formula>0</formula>
    </cfRule>
  </conditionalFormatting>
  <conditionalFormatting sqref="K15:L45">
    <cfRule type="cellIs" dxfId="33" priority="3" operator="lessThan">
      <formula>0</formula>
    </cfRule>
  </conditionalFormatting>
  <conditionalFormatting sqref="P15:S45">
    <cfRule type="cellIs" dxfId="32" priority="4" operator="lessThan">
      <formula>0</formula>
    </cfRule>
  </conditionalFormatting>
  <conditionalFormatting sqref="R48:S48">
    <cfRule type="cellIs" dxfId="31" priority="5" operator="lessThan">
      <formula>0</formula>
    </cfRule>
  </conditionalFormatting>
  <conditionalFormatting sqref="V8">
    <cfRule type="expression" dxfId="30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6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6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6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600-000003000000}">
          <x14:formula1>
            <xm:f>DTA!$I$4:$I$18</xm:f>
          </x14:formula1>
          <xm:sqref>D8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2025</v>
      </c>
      <c r="D1" s="3">
        <f>VLOOKUP(D3,DTA!$B$3:$C$15,2,FALSE)</f>
        <v>8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2025</v>
      </c>
      <c r="D3" s="11" t="s">
        <v>54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54</v>
      </c>
      <c r="S8" s="11">
        <v>1</v>
      </c>
      <c r="T8" s="2"/>
      <c r="U8" s="138"/>
      <c r="V8" s="16">
        <v>1391924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8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11</v>
      </c>
      <c r="C13" s="147"/>
      <c r="D13" s="147"/>
      <c r="E13" s="147"/>
      <c r="F13" s="147"/>
      <c r="G13" s="148"/>
      <c r="H13" s="5"/>
      <c r="I13" s="149" t="s">
        <v>38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0.63682073877596757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45870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46235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45870</v>
      </c>
      <c r="B15" s="39">
        <f t="shared" ref="B15:B45" si="0">+DAY(A15)</f>
        <v>1</v>
      </c>
      <c r="C15" s="40">
        <f t="shared" ref="C15:C45" si="1">+WEEKDAY(A15)</f>
        <v>6</v>
      </c>
      <c r="D15" s="41">
        <v>38005.31</v>
      </c>
      <c r="E15" s="42">
        <f>D15</f>
        <v>38005.31</v>
      </c>
      <c r="F15" s="43">
        <v>44</v>
      </c>
      <c r="G15" s="44">
        <v>27</v>
      </c>
      <c r="H15" s="26">
        <f>H14</f>
        <v>46235</v>
      </c>
      <c r="I15" s="39">
        <f t="shared" ref="I15:I45" si="2">+DAY(H15)</f>
        <v>1</v>
      </c>
      <c r="J15" s="40">
        <f t="shared" ref="J15:J45" si="3">+WEEKDAY(H15)</f>
        <v>7</v>
      </c>
      <c r="K15" s="41">
        <v>42892.01</v>
      </c>
      <c r="L15" s="42">
        <f>K15</f>
        <v>42892.01</v>
      </c>
      <c r="M15" s="43">
        <v>41</v>
      </c>
      <c r="N15" s="44">
        <v>28</v>
      </c>
      <c r="O15" s="5"/>
      <c r="P15" s="45">
        <f t="shared" ref="P15:P45" si="4">IF(NOT(ISBLANK(K15)),SUM(K15-D15),"")</f>
        <v>4886.7000000000044</v>
      </c>
      <c r="Q15" s="46">
        <f t="shared" ref="Q15:Q45" si="5">IF(NOT(ISBLANK(K15)),IFERROR(((K15/D15)-1)," ")," ")</f>
        <v>0.12857940114157751</v>
      </c>
      <c r="R15" s="47">
        <f t="shared" ref="R15:R45" si="6">IF(NOT(ISBLANK(K15)),SUM(L15-E15),"")</f>
        <v>4886.7000000000044</v>
      </c>
      <c r="S15" s="48">
        <f t="shared" ref="S15:S45" si="7">IFERROR(((L15/E15)-1),"")</f>
        <v>0.12857940114157751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1046.1465853658538</v>
      </c>
      <c r="AA15" s="51">
        <f t="shared" ref="AA15:AA45" si="9">IFERROR((L15/N15)," ")</f>
        <v>1531.8575000000001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45871</v>
      </c>
      <c r="B16" s="58">
        <f t="shared" si="0"/>
        <v>2</v>
      </c>
      <c r="C16" s="40">
        <f t="shared" si="1"/>
        <v>7</v>
      </c>
      <c r="D16" s="59">
        <v>62514</v>
      </c>
      <c r="E16" s="42">
        <f t="shared" ref="E16:E45" si="12">IF(NOT(ISBLANK(D16)),SUM(E15+D16),"")</f>
        <v>100519.31</v>
      </c>
      <c r="F16" s="60">
        <v>56</v>
      </c>
      <c r="G16" s="61">
        <v>37</v>
      </c>
      <c r="H16" s="26">
        <f t="shared" ref="H16:H45" si="13">H15+1</f>
        <v>46236</v>
      </c>
      <c r="I16" s="58">
        <f t="shared" si="2"/>
        <v>2</v>
      </c>
      <c r="J16" s="40">
        <f t="shared" si="3"/>
        <v>1</v>
      </c>
      <c r="K16" s="59">
        <v>25263.03</v>
      </c>
      <c r="L16" s="42">
        <f t="shared" ref="L16:L45" si="14">IF(NOT(ISBLANK(K16)),SUM(L15+K16),"")</f>
        <v>68155.040000000008</v>
      </c>
      <c r="M16" s="60">
        <v>26</v>
      </c>
      <c r="N16" s="61">
        <v>18</v>
      </c>
      <c r="O16" s="5"/>
      <c r="P16" s="62">
        <f t="shared" si="4"/>
        <v>-37250.97</v>
      </c>
      <c r="Q16" s="63">
        <f t="shared" si="5"/>
        <v>-0.59588204242249732</v>
      </c>
      <c r="R16" s="64">
        <f t="shared" si="6"/>
        <v>-32364.26999999999</v>
      </c>
      <c r="S16" s="65">
        <f t="shared" si="7"/>
        <v>-0.32197067409237079</v>
      </c>
      <c r="T16" s="2"/>
      <c r="U16" s="2"/>
      <c r="V16" s="2"/>
      <c r="W16" s="5"/>
      <c r="X16" s="6"/>
      <c r="Y16" s="66">
        <v>2</v>
      </c>
      <c r="Z16" s="50">
        <f t="shared" si="8"/>
        <v>2621.3476923076928</v>
      </c>
      <c r="AA16" s="51">
        <f t="shared" si="9"/>
        <v>3786.3911111111115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45872</v>
      </c>
      <c r="B17" s="58">
        <f t="shared" si="0"/>
        <v>3</v>
      </c>
      <c r="C17" s="40">
        <f t="shared" si="1"/>
        <v>1</v>
      </c>
      <c r="D17" s="59">
        <v>69164.210000000006</v>
      </c>
      <c r="E17" s="42">
        <f t="shared" si="12"/>
        <v>169683.52000000002</v>
      </c>
      <c r="F17" s="60">
        <v>61</v>
      </c>
      <c r="G17" s="61">
        <v>44</v>
      </c>
      <c r="H17" s="26">
        <f t="shared" si="13"/>
        <v>46237</v>
      </c>
      <c r="I17" s="58">
        <f t="shared" si="2"/>
        <v>3</v>
      </c>
      <c r="J17" s="40">
        <f t="shared" si="3"/>
        <v>2</v>
      </c>
      <c r="K17" s="59">
        <v>24364.65</v>
      </c>
      <c r="L17" s="42">
        <f t="shared" si="14"/>
        <v>92519.69</v>
      </c>
      <c r="M17" s="60">
        <v>21</v>
      </c>
      <c r="N17" s="61">
        <v>18</v>
      </c>
      <c r="O17" s="5"/>
      <c r="P17" s="62">
        <f t="shared" si="4"/>
        <v>-44799.560000000005</v>
      </c>
      <c r="Q17" s="63">
        <f t="shared" si="5"/>
        <v>-0.6477274879594519</v>
      </c>
      <c r="R17" s="64">
        <f t="shared" si="6"/>
        <v>-77163.830000000016</v>
      </c>
      <c r="S17" s="65">
        <f t="shared" si="7"/>
        <v>-0.45475146908786435</v>
      </c>
      <c r="T17" s="2"/>
      <c r="U17" s="2"/>
      <c r="V17" s="2"/>
      <c r="W17" s="5"/>
      <c r="X17" s="6"/>
      <c r="Y17" s="66">
        <v>3</v>
      </c>
      <c r="Z17" s="50">
        <f t="shared" si="8"/>
        <v>4405.6995238095242</v>
      </c>
      <c r="AA17" s="51">
        <f t="shared" si="9"/>
        <v>5139.9827777777782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45873</v>
      </c>
      <c r="B18" s="58">
        <f t="shared" si="0"/>
        <v>4</v>
      </c>
      <c r="C18" s="40">
        <f t="shared" si="1"/>
        <v>2</v>
      </c>
      <c r="D18" s="59">
        <v>43898.45</v>
      </c>
      <c r="E18" s="42">
        <f t="shared" si="12"/>
        <v>213581.97000000003</v>
      </c>
      <c r="F18" s="60">
        <v>39</v>
      </c>
      <c r="G18" s="61">
        <v>18</v>
      </c>
      <c r="H18" s="26">
        <f t="shared" si="13"/>
        <v>46238</v>
      </c>
      <c r="I18" s="58">
        <f t="shared" si="2"/>
        <v>4</v>
      </c>
      <c r="J18" s="40">
        <f t="shared" si="3"/>
        <v>3</v>
      </c>
      <c r="K18" s="59">
        <v>25466.57</v>
      </c>
      <c r="L18" s="42">
        <f t="shared" si="14"/>
        <v>117986.26000000001</v>
      </c>
      <c r="M18" s="60">
        <v>25</v>
      </c>
      <c r="N18" s="61">
        <v>19</v>
      </c>
      <c r="O18" s="5"/>
      <c r="P18" s="62">
        <f t="shared" si="4"/>
        <v>-18431.879999999997</v>
      </c>
      <c r="Q18" s="63">
        <f t="shared" si="5"/>
        <v>-0.41987541701358477</v>
      </c>
      <c r="R18" s="64">
        <f t="shared" si="6"/>
        <v>-95595.710000000021</v>
      </c>
      <c r="S18" s="65">
        <f t="shared" si="7"/>
        <v>-0.44758323935302224</v>
      </c>
      <c r="T18" s="2"/>
      <c r="U18" s="2"/>
      <c r="V18" s="2"/>
      <c r="W18" s="5"/>
      <c r="X18" s="6"/>
      <c r="Y18" s="66">
        <v>4</v>
      </c>
      <c r="Z18" s="50">
        <f t="shared" si="8"/>
        <v>4719.4504000000006</v>
      </c>
      <c r="AA18" s="51">
        <f t="shared" si="9"/>
        <v>6209.8031578947375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45874</v>
      </c>
      <c r="B19" s="58">
        <f t="shared" si="0"/>
        <v>5</v>
      </c>
      <c r="C19" s="40">
        <f t="shared" si="1"/>
        <v>3</v>
      </c>
      <c r="D19" s="59">
        <v>37591.82</v>
      </c>
      <c r="E19" s="42">
        <f t="shared" si="12"/>
        <v>251173.79000000004</v>
      </c>
      <c r="F19" s="60">
        <v>34</v>
      </c>
      <c r="G19" s="61">
        <v>26</v>
      </c>
      <c r="H19" s="26">
        <f t="shared" si="13"/>
        <v>46239</v>
      </c>
      <c r="I19" s="58">
        <f t="shared" si="2"/>
        <v>5</v>
      </c>
      <c r="J19" s="40">
        <f t="shared" si="3"/>
        <v>4</v>
      </c>
      <c r="K19" s="59">
        <v>24248.799999999999</v>
      </c>
      <c r="L19" s="42">
        <f t="shared" si="14"/>
        <v>142235.06</v>
      </c>
      <c r="M19" s="60">
        <v>25</v>
      </c>
      <c r="N19" s="61">
        <v>16</v>
      </c>
      <c r="O19" s="5"/>
      <c r="P19" s="62">
        <f t="shared" si="4"/>
        <v>-13343.02</v>
      </c>
      <c r="Q19" s="63">
        <f t="shared" si="5"/>
        <v>-0.35494477255956214</v>
      </c>
      <c r="R19" s="64">
        <f t="shared" si="6"/>
        <v>-108938.73000000004</v>
      </c>
      <c r="S19" s="65">
        <f t="shared" si="7"/>
        <v>-0.43371854205010807</v>
      </c>
      <c r="T19" s="2"/>
      <c r="U19" s="2"/>
      <c r="V19" s="2"/>
      <c r="W19" s="5"/>
      <c r="X19" s="6"/>
      <c r="Y19" s="66">
        <v>5</v>
      </c>
      <c r="Z19" s="50">
        <f t="shared" si="8"/>
        <v>5689.4023999999999</v>
      </c>
      <c r="AA19" s="51">
        <f t="shared" si="9"/>
        <v>8889.6912499999999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45875</v>
      </c>
      <c r="B20" s="58">
        <f t="shared" si="0"/>
        <v>6</v>
      </c>
      <c r="C20" s="40">
        <f t="shared" si="1"/>
        <v>4</v>
      </c>
      <c r="D20" s="59">
        <v>43304.77</v>
      </c>
      <c r="E20" s="42">
        <f t="shared" si="12"/>
        <v>294478.56000000006</v>
      </c>
      <c r="F20" s="60">
        <v>46</v>
      </c>
      <c r="G20" s="61">
        <v>23</v>
      </c>
      <c r="H20" s="26">
        <f t="shared" si="13"/>
        <v>46240</v>
      </c>
      <c r="I20" s="58">
        <f t="shared" si="2"/>
        <v>6</v>
      </c>
      <c r="J20" s="40">
        <f t="shared" si="3"/>
        <v>5</v>
      </c>
      <c r="K20" s="59">
        <v>41121.53</v>
      </c>
      <c r="L20" s="42">
        <f t="shared" si="14"/>
        <v>183356.59</v>
      </c>
      <c r="M20" s="60">
        <v>30</v>
      </c>
      <c r="N20" s="61">
        <v>21</v>
      </c>
      <c r="O20" s="5"/>
      <c r="P20" s="62">
        <f t="shared" si="4"/>
        <v>-2183.239999999998</v>
      </c>
      <c r="Q20" s="63">
        <f t="shared" si="5"/>
        <v>-5.0415693236564918E-2</v>
      </c>
      <c r="R20" s="64">
        <f t="shared" si="6"/>
        <v>-111121.97000000006</v>
      </c>
      <c r="S20" s="65">
        <f t="shared" si="7"/>
        <v>-0.37735164828298551</v>
      </c>
      <c r="T20" s="2"/>
      <c r="U20" s="2"/>
      <c r="V20" s="2"/>
      <c r="W20" s="5"/>
      <c r="X20" s="6"/>
      <c r="Y20" s="66">
        <v>6</v>
      </c>
      <c r="Z20" s="50">
        <f t="shared" si="8"/>
        <v>6111.8863333333329</v>
      </c>
      <c r="AA20" s="51">
        <f t="shared" si="9"/>
        <v>8731.2661904761899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45876</v>
      </c>
      <c r="B21" s="58">
        <f t="shared" si="0"/>
        <v>7</v>
      </c>
      <c r="C21" s="40">
        <f t="shared" si="1"/>
        <v>5</v>
      </c>
      <c r="D21" s="59">
        <v>46901.49</v>
      </c>
      <c r="E21" s="42">
        <f t="shared" si="12"/>
        <v>341380.05000000005</v>
      </c>
      <c r="F21" s="60">
        <v>45</v>
      </c>
      <c r="G21" s="61">
        <v>25</v>
      </c>
      <c r="H21" s="26">
        <f t="shared" si="13"/>
        <v>46241</v>
      </c>
      <c r="I21" s="58">
        <f t="shared" si="2"/>
        <v>7</v>
      </c>
      <c r="J21" s="40">
        <f t="shared" si="3"/>
        <v>6</v>
      </c>
      <c r="K21" s="59">
        <v>31122.69</v>
      </c>
      <c r="L21" s="42">
        <f t="shared" si="14"/>
        <v>214479.28</v>
      </c>
      <c r="M21" s="60">
        <v>36</v>
      </c>
      <c r="N21" s="61">
        <v>27</v>
      </c>
      <c r="O21" s="5"/>
      <c r="P21" s="62">
        <f t="shared" si="4"/>
        <v>-15778.8</v>
      </c>
      <c r="Q21" s="63">
        <f t="shared" si="5"/>
        <v>-0.33642427991093671</v>
      </c>
      <c r="R21" s="64">
        <f t="shared" si="6"/>
        <v>-126900.77000000005</v>
      </c>
      <c r="S21" s="65">
        <f t="shared" si="7"/>
        <v>-0.37172872287059544</v>
      </c>
      <c r="T21" s="2"/>
      <c r="U21" s="2"/>
      <c r="V21" s="2"/>
      <c r="W21" s="5"/>
      <c r="X21" s="6"/>
      <c r="Y21" s="66">
        <v>7</v>
      </c>
      <c r="Z21" s="50">
        <f t="shared" si="8"/>
        <v>5957.7577777777778</v>
      </c>
      <c r="AA21" s="51">
        <f t="shared" si="9"/>
        <v>7943.6770370370368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45877</v>
      </c>
      <c r="B22" s="58">
        <f t="shared" si="0"/>
        <v>8</v>
      </c>
      <c r="C22" s="40">
        <f t="shared" si="1"/>
        <v>6</v>
      </c>
      <c r="D22" s="59">
        <v>34844.51</v>
      </c>
      <c r="E22" s="42">
        <f t="shared" si="12"/>
        <v>376224.56000000006</v>
      </c>
      <c r="F22" s="60">
        <v>36</v>
      </c>
      <c r="G22" s="61">
        <v>21</v>
      </c>
      <c r="H22" s="26">
        <f t="shared" si="13"/>
        <v>46242</v>
      </c>
      <c r="I22" s="58">
        <f t="shared" si="2"/>
        <v>8</v>
      </c>
      <c r="J22" s="40">
        <f t="shared" si="3"/>
        <v>7</v>
      </c>
      <c r="K22" s="59">
        <v>24805.82</v>
      </c>
      <c r="L22" s="42">
        <f t="shared" si="14"/>
        <v>239285.1</v>
      </c>
      <c r="M22" s="60">
        <v>33</v>
      </c>
      <c r="N22" s="61">
        <v>27</v>
      </c>
      <c r="O22" s="5"/>
      <c r="P22" s="62">
        <f t="shared" si="4"/>
        <v>-10038.690000000002</v>
      </c>
      <c r="Q22" s="63">
        <f t="shared" si="5"/>
        <v>-0.28809961741462287</v>
      </c>
      <c r="R22" s="64">
        <f t="shared" si="6"/>
        <v>-136939.46000000005</v>
      </c>
      <c r="S22" s="65">
        <f t="shared" si="7"/>
        <v>-0.36398330826674374</v>
      </c>
      <c r="T22" s="2"/>
      <c r="U22" s="2"/>
      <c r="V22" s="2"/>
      <c r="W22" s="5"/>
      <c r="X22" s="6"/>
      <c r="Y22" s="66">
        <v>8</v>
      </c>
      <c r="Z22" s="50">
        <f t="shared" si="8"/>
        <v>7251.0636363636368</v>
      </c>
      <c r="AA22" s="51">
        <f t="shared" si="9"/>
        <v>8862.4111111111106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45878</v>
      </c>
      <c r="B23" s="58">
        <f t="shared" si="0"/>
        <v>9</v>
      </c>
      <c r="C23" s="40">
        <f t="shared" si="1"/>
        <v>7</v>
      </c>
      <c r="D23" s="59">
        <v>85923.8</v>
      </c>
      <c r="E23" s="42">
        <f t="shared" si="12"/>
        <v>462148.36000000004</v>
      </c>
      <c r="F23" s="60">
        <v>65</v>
      </c>
      <c r="G23" s="61">
        <v>41</v>
      </c>
      <c r="H23" s="26">
        <f t="shared" si="13"/>
        <v>46243</v>
      </c>
      <c r="I23" s="58">
        <f t="shared" si="2"/>
        <v>9</v>
      </c>
      <c r="J23" s="40">
        <f t="shared" si="3"/>
        <v>1</v>
      </c>
      <c r="K23" s="59">
        <v>44223.4</v>
      </c>
      <c r="L23" s="42">
        <f t="shared" si="14"/>
        <v>283508.5</v>
      </c>
      <c r="M23" s="60">
        <v>47</v>
      </c>
      <c r="N23" s="61">
        <v>31</v>
      </c>
      <c r="O23" s="5"/>
      <c r="P23" s="62">
        <f t="shared" si="4"/>
        <v>-41700.400000000001</v>
      </c>
      <c r="Q23" s="63">
        <f t="shared" si="5"/>
        <v>-0.48531838675663785</v>
      </c>
      <c r="R23" s="64">
        <f t="shared" si="6"/>
        <v>-178639.86000000004</v>
      </c>
      <c r="S23" s="65">
        <f t="shared" si="7"/>
        <v>-0.38654223505196472</v>
      </c>
      <c r="T23" s="2"/>
      <c r="U23" s="2"/>
      <c r="V23" s="2"/>
      <c r="W23" s="5"/>
      <c r="X23" s="6"/>
      <c r="Y23" s="66">
        <v>9</v>
      </c>
      <c r="Z23" s="50">
        <f t="shared" si="8"/>
        <v>6032.0957446808507</v>
      </c>
      <c r="AA23" s="51">
        <f t="shared" si="9"/>
        <v>9145.4354838709678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45879</v>
      </c>
      <c r="B24" s="58">
        <f t="shared" si="0"/>
        <v>10</v>
      </c>
      <c r="C24" s="40">
        <f t="shared" si="1"/>
        <v>1</v>
      </c>
      <c r="D24" s="59">
        <v>61444.32</v>
      </c>
      <c r="E24" s="42">
        <f t="shared" si="12"/>
        <v>523592.68000000005</v>
      </c>
      <c r="F24" s="60">
        <v>68</v>
      </c>
      <c r="G24" s="61">
        <v>44</v>
      </c>
      <c r="H24" s="26">
        <f t="shared" si="13"/>
        <v>46244</v>
      </c>
      <c r="I24" s="58">
        <f t="shared" si="2"/>
        <v>10</v>
      </c>
      <c r="J24" s="40">
        <f t="shared" si="3"/>
        <v>2</v>
      </c>
      <c r="K24" s="59">
        <v>36356.07</v>
      </c>
      <c r="L24" s="42">
        <f t="shared" si="14"/>
        <v>319864.57</v>
      </c>
      <c r="M24" s="60">
        <v>26</v>
      </c>
      <c r="N24" s="61">
        <v>20</v>
      </c>
      <c r="O24" s="5"/>
      <c r="P24" s="62">
        <f t="shared" si="4"/>
        <v>-25088.25</v>
      </c>
      <c r="Q24" s="63">
        <f t="shared" si="5"/>
        <v>-0.40830869313876372</v>
      </c>
      <c r="R24" s="64">
        <f t="shared" si="6"/>
        <v>-203728.11000000004</v>
      </c>
      <c r="S24" s="65">
        <f t="shared" si="7"/>
        <v>-0.38909655879833926</v>
      </c>
      <c r="T24" s="2"/>
      <c r="U24" s="2"/>
      <c r="V24" s="2"/>
      <c r="W24" s="5"/>
      <c r="X24" s="6"/>
      <c r="Y24" s="66">
        <v>10</v>
      </c>
      <c r="Z24" s="50">
        <f t="shared" si="8"/>
        <v>12302.483461538463</v>
      </c>
      <c r="AA24" s="51">
        <f t="shared" si="9"/>
        <v>15993.228500000001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45880</v>
      </c>
      <c r="B25" s="58">
        <f t="shared" si="0"/>
        <v>11</v>
      </c>
      <c r="C25" s="40">
        <f t="shared" si="1"/>
        <v>2</v>
      </c>
      <c r="D25" s="59">
        <v>23762.6</v>
      </c>
      <c r="E25" s="42">
        <f t="shared" si="12"/>
        <v>547355.28</v>
      </c>
      <c r="F25" s="60">
        <v>23</v>
      </c>
      <c r="G25" s="61">
        <v>22</v>
      </c>
      <c r="H25" s="26">
        <f t="shared" si="13"/>
        <v>46245</v>
      </c>
      <c r="I25" s="58">
        <f t="shared" si="2"/>
        <v>11</v>
      </c>
      <c r="J25" s="40">
        <f t="shared" si="3"/>
        <v>3</v>
      </c>
      <c r="K25" s="59">
        <v>23996.21</v>
      </c>
      <c r="L25" s="42">
        <f t="shared" si="14"/>
        <v>343860.78</v>
      </c>
      <c r="M25" s="60">
        <v>26</v>
      </c>
      <c r="N25" s="61">
        <v>21</v>
      </c>
      <c r="O25" s="5"/>
      <c r="P25" s="62">
        <f t="shared" si="4"/>
        <v>233.61000000000058</v>
      </c>
      <c r="Q25" s="63">
        <f t="shared" si="5"/>
        <v>9.8309949247978867E-3</v>
      </c>
      <c r="R25" s="64">
        <f t="shared" si="6"/>
        <v>-203494.5</v>
      </c>
      <c r="S25" s="65">
        <f t="shared" si="7"/>
        <v>-0.37177772360211814</v>
      </c>
      <c r="T25" s="2"/>
      <c r="U25" s="2"/>
      <c r="V25" s="2"/>
      <c r="W25" s="5"/>
      <c r="X25" s="6"/>
      <c r="Y25" s="66">
        <v>11</v>
      </c>
      <c r="Z25" s="50">
        <f t="shared" si="8"/>
        <v>13225.414615384616</v>
      </c>
      <c r="AA25" s="51">
        <f t="shared" si="9"/>
        <v>16374.322857142859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45881</v>
      </c>
      <c r="B26" s="58">
        <f t="shared" si="0"/>
        <v>12</v>
      </c>
      <c r="C26" s="40">
        <f t="shared" si="1"/>
        <v>3</v>
      </c>
      <c r="D26" s="59">
        <v>29094.27</v>
      </c>
      <c r="E26" s="42">
        <f t="shared" si="12"/>
        <v>576449.55000000005</v>
      </c>
      <c r="F26" s="60">
        <v>31</v>
      </c>
      <c r="G26" s="61">
        <v>21</v>
      </c>
      <c r="H26" s="26">
        <f t="shared" si="13"/>
        <v>46246</v>
      </c>
      <c r="I26" s="58">
        <f t="shared" si="2"/>
        <v>12</v>
      </c>
      <c r="J26" s="40">
        <f t="shared" si="3"/>
        <v>4</v>
      </c>
      <c r="K26" s="59">
        <v>36859.14</v>
      </c>
      <c r="L26" s="42">
        <f t="shared" si="14"/>
        <v>380719.92000000004</v>
      </c>
      <c r="M26" s="60">
        <v>37</v>
      </c>
      <c r="N26" s="61">
        <v>21</v>
      </c>
      <c r="O26" s="5"/>
      <c r="P26" s="62">
        <f t="shared" si="4"/>
        <v>7764.869999999999</v>
      </c>
      <c r="Q26" s="63">
        <f t="shared" si="5"/>
        <v>0.2668865725106695</v>
      </c>
      <c r="R26" s="64">
        <f t="shared" si="6"/>
        <v>-195729.63</v>
      </c>
      <c r="S26" s="65">
        <f t="shared" si="7"/>
        <v>-0.33954338241742055</v>
      </c>
      <c r="T26" s="2"/>
      <c r="U26" s="2"/>
      <c r="V26" s="2"/>
      <c r="W26" s="5"/>
      <c r="X26" s="6"/>
      <c r="Y26" s="66">
        <v>12</v>
      </c>
      <c r="Z26" s="50">
        <f t="shared" si="8"/>
        <v>10289.727567567568</v>
      </c>
      <c r="AA26" s="51">
        <f t="shared" si="9"/>
        <v>18129.52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45882</v>
      </c>
      <c r="B27" s="58">
        <f t="shared" si="0"/>
        <v>13</v>
      </c>
      <c r="C27" s="40">
        <f t="shared" si="1"/>
        <v>4</v>
      </c>
      <c r="D27" s="59">
        <v>41332.410000000003</v>
      </c>
      <c r="E27" s="42">
        <f t="shared" si="12"/>
        <v>617781.96000000008</v>
      </c>
      <c r="F27" s="60">
        <v>30</v>
      </c>
      <c r="G27" s="61">
        <v>20</v>
      </c>
      <c r="H27" s="26">
        <f t="shared" si="13"/>
        <v>46247</v>
      </c>
      <c r="I27" s="58">
        <f t="shared" si="2"/>
        <v>13</v>
      </c>
      <c r="J27" s="40">
        <f t="shared" si="3"/>
        <v>5</v>
      </c>
      <c r="K27" s="59">
        <v>25745.72</v>
      </c>
      <c r="L27" s="42">
        <f t="shared" si="14"/>
        <v>406465.64</v>
      </c>
      <c r="M27" s="60">
        <v>20</v>
      </c>
      <c r="N27" s="61">
        <v>16</v>
      </c>
      <c r="O27" s="5"/>
      <c r="P27" s="62">
        <f t="shared" si="4"/>
        <v>-15586.690000000002</v>
      </c>
      <c r="Q27" s="63">
        <f t="shared" si="5"/>
        <v>-0.37710576276582952</v>
      </c>
      <c r="R27" s="64">
        <f t="shared" si="6"/>
        <v>-211316.32000000007</v>
      </c>
      <c r="S27" s="65">
        <f t="shared" si="7"/>
        <v>-0.34205647571839104</v>
      </c>
      <c r="T27" s="2"/>
      <c r="U27" s="2"/>
      <c r="V27" s="2"/>
      <c r="W27" s="5"/>
      <c r="X27" s="6"/>
      <c r="Y27" s="66">
        <v>13</v>
      </c>
      <c r="Z27" s="50">
        <f t="shared" si="8"/>
        <v>20323.281999999999</v>
      </c>
      <c r="AA27" s="51">
        <f t="shared" si="9"/>
        <v>25404.102500000001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45883</v>
      </c>
      <c r="B28" s="58">
        <f t="shared" si="0"/>
        <v>14</v>
      </c>
      <c r="C28" s="40">
        <f t="shared" si="1"/>
        <v>5</v>
      </c>
      <c r="D28" s="59">
        <v>21171.52</v>
      </c>
      <c r="E28" s="42">
        <f t="shared" si="12"/>
        <v>638953.4800000001</v>
      </c>
      <c r="F28" s="60">
        <v>22</v>
      </c>
      <c r="G28" s="61">
        <v>14</v>
      </c>
      <c r="H28" s="26">
        <f t="shared" si="13"/>
        <v>46248</v>
      </c>
      <c r="I28" s="58">
        <f t="shared" si="2"/>
        <v>14</v>
      </c>
      <c r="J28" s="40">
        <f t="shared" si="3"/>
        <v>6</v>
      </c>
      <c r="K28" s="59">
        <v>22575.94</v>
      </c>
      <c r="L28" s="42">
        <f t="shared" si="14"/>
        <v>429041.58</v>
      </c>
      <c r="M28" s="60">
        <v>21</v>
      </c>
      <c r="N28" s="61">
        <v>18</v>
      </c>
      <c r="O28" s="5"/>
      <c r="P28" s="62">
        <f t="shared" si="4"/>
        <v>1404.4199999999983</v>
      </c>
      <c r="Q28" s="63">
        <f t="shared" si="5"/>
        <v>6.6335341061954933E-2</v>
      </c>
      <c r="R28" s="64">
        <f t="shared" si="6"/>
        <v>-209911.90000000008</v>
      </c>
      <c r="S28" s="65">
        <f t="shared" si="7"/>
        <v>-0.32852454297611788</v>
      </c>
      <c r="T28" s="2"/>
      <c r="U28" s="2"/>
      <c r="V28" s="2"/>
      <c r="W28" s="5"/>
      <c r="X28" s="6"/>
      <c r="Y28" s="66">
        <v>14</v>
      </c>
      <c r="Z28" s="50">
        <f t="shared" si="8"/>
        <v>20430.551428571431</v>
      </c>
      <c r="AA28" s="51">
        <f t="shared" si="9"/>
        <v>23835.643333333333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45884</v>
      </c>
      <c r="B29" s="58">
        <f t="shared" si="0"/>
        <v>15</v>
      </c>
      <c r="C29" s="40">
        <f t="shared" si="1"/>
        <v>6</v>
      </c>
      <c r="D29" s="59">
        <v>27964.5</v>
      </c>
      <c r="E29" s="42">
        <f t="shared" si="12"/>
        <v>666917.9800000001</v>
      </c>
      <c r="F29" s="60">
        <v>29</v>
      </c>
      <c r="G29" s="61">
        <v>21</v>
      </c>
      <c r="H29" s="26">
        <f t="shared" si="13"/>
        <v>46249</v>
      </c>
      <c r="I29" s="58">
        <f t="shared" si="2"/>
        <v>15</v>
      </c>
      <c r="J29" s="40">
        <f t="shared" si="3"/>
        <v>7</v>
      </c>
      <c r="K29" s="59">
        <v>51583.79</v>
      </c>
      <c r="L29" s="42">
        <f t="shared" si="14"/>
        <v>480625.37</v>
      </c>
      <c r="M29" s="60">
        <v>57</v>
      </c>
      <c r="N29" s="61">
        <v>36</v>
      </c>
      <c r="O29" s="5"/>
      <c r="P29" s="62">
        <f t="shared" si="4"/>
        <v>23619.29</v>
      </c>
      <c r="Q29" s="63">
        <f t="shared" si="5"/>
        <v>0.84461692502994867</v>
      </c>
      <c r="R29" s="64">
        <f t="shared" si="6"/>
        <v>-186292.6100000001</v>
      </c>
      <c r="S29" s="65">
        <f t="shared" si="7"/>
        <v>-0.27933361460730155</v>
      </c>
      <c r="T29" s="2"/>
      <c r="U29" s="2"/>
      <c r="V29" s="2"/>
      <c r="W29" s="5"/>
      <c r="X29" s="6"/>
      <c r="Y29" s="66">
        <v>15</v>
      </c>
      <c r="Z29" s="50">
        <f t="shared" si="8"/>
        <v>8432.0240350877193</v>
      </c>
      <c r="AA29" s="51">
        <f t="shared" si="9"/>
        <v>13350.704722222223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45885</v>
      </c>
      <c r="B30" s="58">
        <f t="shared" si="0"/>
        <v>16</v>
      </c>
      <c r="C30" s="40">
        <f t="shared" si="1"/>
        <v>7</v>
      </c>
      <c r="D30" s="59">
        <v>57270.55</v>
      </c>
      <c r="E30" s="42">
        <f t="shared" si="12"/>
        <v>724188.53000000014</v>
      </c>
      <c r="F30" s="60">
        <v>53</v>
      </c>
      <c r="G30" s="61">
        <v>38</v>
      </c>
      <c r="H30" s="26">
        <f t="shared" si="13"/>
        <v>46250</v>
      </c>
      <c r="I30" s="58">
        <f t="shared" si="2"/>
        <v>16</v>
      </c>
      <c r="J30" s="40">
        <f t="shared" si="3"/>
        <v>1</v>
      </c>
      <c r="K30" s="59">
        <v>35206.58</v>
      </c>
      <c r="L30" s="42">
        <f t="shared" si="14"/>
        <v>515831.95</v>
      </c>
      <c r="M30" s="60">
        <v>35</v>
      </c>
      <c r="N30" s="61">
        <v>29</v>
      </c>
      <c r="O30" s="5"/>
      <c r="P30" s="62">
        <f t="shared" si="4"/>
        <v>-22063.97</v>
      </c>
      <c r="Q30" s="63">
        <f t="shared" si="5"/>
        <v>-0.38525856657566582</v>
      </c>
      <c r="R30" s="64">
        <f t="shared" si="6"/>
        <v>-208356.58000000013</v>
      </c>
      <c r="S30" s="65">
        <f t="shared" si="7"/>
        <v>-0.28771041154159138</v>
      </c>
      <c r="T30" s="2"/>
      <c r="U30" s="2"/>
      <c r="V30" s="2"/>
      <c r="W30" s="5"/>
      <c r="X30" s="6"/>
      <c r="Y30" s="66">
        <v>16</v>
      </c>
      <c r="Z30" s="50">
        <f t="shared" si="8"/>
        <v>14738.055714285714</v>
      </c>
      <c r="AA30" s="51">
        <f t="shared" si="9"/>
        <v>17787.308620689655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45886</v>
      </c>
      <c r="B31" s="58">
        <f t="shared" si="0"/>
        <v>17</v>
      </c>
      <c r="C31" s="40">
        <f t="shared" si="1"/>
        <v>1</v>
      </c>
      <c r="D31" s="59">
        <v>63162.879999999997</v>
      </c>
      <c r="E31" s="42">
        <f t="shared" si="12"/>
        <v>787351.41000000015</v>
      </c>
      <c r="F31" s="60">
        <v>77</v>
      </c>
      <c r="G31" s="61">
        <v>44</v>
      </c>
      <c r="H31" s="26">
        <f t="shared" si="13"/>
        <v>46251</v>
      </c>
      <c r="I31" s="58">
        <f t="shared" si="2"/>
        <v>17</v>
      </c>
      <c r="J31" s="40">
        <f t="shared" si="3"/>
        <v>2</v>
      </c>
      <c r="K31" s="59">
        <v>28089.3</v>
      </c>
      <c r="L31" s="42">
        <f t="shared" si="14"/>
        <v>543921.25</v>
      </c>
      <c r="M31" s="60">
        <v>15</v>
      </c>
      <c r="N31" s="61">
        <v>13</v>
      </c>
      <c r="O31" s="5"/>
      <c r="P31" s="62">
        <f t="shared" si="4"/>
        <v>-35073.58</v>
      </c>
      <c r="Q31" s="63">
        <f t="shared" si="5"/>
        <v>-0.55528785261216718</v>
      </c>
      <c r="R31" s="64">
        <f t="shared" si="6"/>
        <v>-243430.16000000015</v>
      </c>
      <c r="S31" s="65">
        <f t="shared" si="7"/>
        <v>-0.30917600058657435</v>
      </c>
      <c r="T31" s="2"/>
      <c r="U31" s="2"/>
      <c r="V31" s="2"/>
      <c r="W31" s="5"/>
      <c r="X31" s="6"/>
      <c r="Y31" s="66">
        <v>17</v>
      </c>
      <c r="Z31" s="50">
        <f t="shared" si="8"/>
        <v>36261.416666666664</v>
      </c>
      <c r="AA31" s="51">
        <f t="shared" si="9"/>
        <v>41840.096153846156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45887</v>
      </c>
      <c r="B32" s="58">
        <f t="shared" si="0"/>
        <v>18</v>
      </c>
      <c r="C32" s="40">
        <f t="shared" si="1"/>
        <v>2</v>
      </c>
      <c r="D32" s="59">
        <v>24612.57</v>
      </c>
      <c r="E32" s="42">
        <f t="shared" si="12"/>
        <v>811963.9800000001</v>
      </c>
      <c r="F32" s="60">
        <v>27</v>
      </c>
      <c r="G32" s="61">
        <v>33</v>
      </c>
      <c r="H32" s="26">
        <f t="shared" si="13"/>
        <v>46252</v>
      </c>
      <c r="I32" s="58">
        <f t="shared" si="2"/>
        <v>18</v>
      </c>
      <c r="J32" s="40">
        <f t="shared" si="3"/>
        <v>3</v>
      </c>
      <c r="K32" s="59">
        <v>11232.02</v>
      </c>
      <c r="L32" s="42">
        <f t="shared" si="14"/>
        <v>555153.27</v>
      </c>
      <c r="M32" s="60">
        <v>10</v>
      </c>
      <c r="N32" s="61">
        <v>8</v>
      </c>
      <c r="O32" s="5"/>
      <c r="P32" s="62">
        <f t="shared" si="4"/>
        <v>-13380.55</v>
      </c>
      <c r="Q32" s="63">
        <f t="shared" si="5"/>
        <v>-0.54364700638738661</v>
      </c>
      <c r="R32" s="64">
        <f t="shared" si="6"/>
        <v>-256810.71000000008</v>
      </c>
      <c r="S32" s="65">
        <f t="shared" si="7"/>
        <v>-0.3162833774966225</v>
      </c>
      <c r="T32" s="2"/>
      <c r="U32" s="2"/>
      <c r="V32" s="2"/>
      <c r="W32" s="5"/>
      <c r="X32" s="6"/>
      <c r="Y32" s="66">
        <v>18</v>
      </c>
      <c r="Z32" s="50">
        <f t="shared" si="8"/>
        <v>55515.327000000005</v>
      </c>
      <c r="AA32" s="51">
        <f t="shared" si="9"/>
        <v>69394.158750000002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45888</v>
      </c>
      <c r="B33" s="58">
        <f t="shared" si="0"/>
        <v>19</v>
      </c>
      <c r="C33" s="40">
        <f t="shared" si="1"/>
        <v>3</v>
      </c>
      <c r="D33" s="59">
        <v>40500.33</v>
      </c>
      <c r="E33" s="42">
        <f t="shared" si="12"/>
        <v>852464.31</v>
      </c>
      <c r="F33" s="60">
        <v>40</v>
      </c>
      <c r="G33" s="61">
        <v>27</v>
      </c>
      <c r="H33" s="26">
        <f t="shared" si="13"/>
        <v>46253</v>
      </c>
      <c r="I33" s="58">
        <f t="shared" si="2"/>
        <v>19</v>
      </c>
      <c r="J33" s="40">
        <f t="shared" si="3"/>
        <v>4</v>
      </c>
      <c r="K33" s="59">
        <v>18910.349999999999</v>
      </c>
      <c r="L33" s="42">
        <f t="shared" si="14"/>
        <v>574063.62</v>
      </c>
      <c r="M33" s="60">
        <v>14</v>
      </c>
      <c r="N33" s="61">
        <v>10</v>
      </c>
      <c r="O33" s="5"/>
      <c r="P33" s="62">
        <f t="shared" si="4"/>
        <v>-21589.980000000003</v>
      </c>
      <c r="Q33" s="63">
        <f t="shared" si="5"/>
        <v>-0.53308158229821845</v>
      </c>
      <c r="R33" s="64">
        <f t="shared" si="6"/>
        <v>-278400.69000000006</v>
      </c>
      <c r="S33" s="65">
        <f t="shared" si="7"/>
        <v>-0.32658339678760284</v>
      </c>
      <c r="T33" s="2"/>
      <c r="U33" s="2"/>
      <c r="V33" s="2"/>
      <c r="W33" s="5"/>
      <c r="X33" s="6"/>
      <c r="Y33" s="66">
        <v>19</v>
      </c>
      <c r="Z33" s="50">
        <f t="shared" si="8"/>
        <v>41004.544285714284</v>
      </c>
      <c r="AA33" s="51">
        <f t="shared" si="9"/>
        <v>57406.362000000001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45889</v>
      </c>
      <c r="B34" s="58">
        <f t="shared" si="0"/>
        <v>20</v>
      </c>
      <c r="C34" s="40">
        <f t="shared" si="1"/>
        <v>4</v>
      </c>
      <c r="D34" s="59">
        <v>26474.400000000001</v>
      </c>
      <c r="E34" s="42">
        <f t="shared" si="12"/>
        <v>878938.71000000008</v>
      </c>
      <c r="F34" s="60">
        <v>24</v>
      </c>
      <c r="G34" s="61">
        <v>13</v>
      </c>
      <c r="H34" s="26">
        <f t="shared" si="13"/>
        <v>46254</v>
      </c>
      <c r="I34" s="58">
        <f t="shared" si="2"/>
        <v>20</v>
      </c>
      <c r="J34" s="40">
        <f t="shared" si="3"/>
        <v>5</v>
      </c>
      <c r="K34" s="59">
        <v>22107.95</v>
      </c>
      <c r="L34" s="42">
        <f t="shared" si="14"/>
        <v>596171.56999999995</v>
      </c>
      <c r="M34" s="60">
        <v>15</v>
      </c>
      <c r="N34" s="61">
        <v>12</v>
      </c>
      <c r="O34" s="5"/>
      <c r="P34" s="62">
        <f t="shared" si="4"/>
        <v>-4366.4500000000007</v>
      </c>
      <c r="Q34" s="63">
        <f t="shared" si="5"/>
        <v>-0.16493102770978763</v>
      </c>
      <c r="R34" s="64">
        <f t="shared" si="6"/>
        <v>-282767.14000000013</v>
      </c>
      <c r="S34" s="65">
        <f t="shared" si="7"/>
        <v>-0.32171428653995693</v>
      </c>
      <c r="T34" s="2"/>
      <c r="U34" s="2"/>
      <c r="V34" s="2"/>
      <c r="W34" s="5"/>
      <c r="X34" s="6"/>
      <c r="Y34" s="66">
        <v>20</v>
      </c>
      <c r="Z34" s="50">
        <f t="shared" si="8"/>
        <v>39744.77133333333</v>
      </c>
      <c r="AA34" s="51">
        <f t="shared" si="9"/>
        <v>49680.964166666665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45890</v>
      </c>
      <c r="B35" s="58">
        <f t="shared" si="0"/>
        <v>21</v>
      </c>
      <c r="C35" s="40">
        <f t="shared" si="1"/>
        <v>5</v>
      </c>
      <c r="D35" s="59">
        <v>32410.34</v>
      </c>
      <c r="E35" s="42">
        <f t="shared" si="12"/>
        <v>911349.05</v>
      </c>
      <c r="F35" s="60">
        <v>35</v>
      </c>
      <c r="G35" s="61">
        <v>18</v>
      </c>
      <c r="H35" s="26">
        <f t="shared" si="13"/>
        <v>46255</v>
      </c>
      <c r="I35" s="58">
        <f t="shared" si="2"/>
        <v>21</v>
      </c>
      <c r="J35" s="40">
        <f t="shared" si="3"/>
        <v>6</v>
      </c>
      <c r="K35" s="59">
        <v>23580.43</v>
      </c>
      <c r="L35" s="42">
        <f t="shared" si="14"/>
        <v>619752</v>
      </c>
      <c r="M35" s="60">
        <v>17</v>
      </c>
      <c r="N35" s="61">
        <v>13</v>
      </c>
      <c r="O35" s="5"/>
      <c r="P35" s="62">
        <f t="shared" si="4"/>
        <v>-8829.91</v>
      </c>
      <c r="Q35" s="63">
        <f t="shared" si="5"/>
        <v>-0.27244114069769088</v>
      </c>
      <c r="R35" s="64">
        <f t="shared" si="6"/>
        <v>-291597.05000000005</v>
      </c>
      <c r="S35" s="65">
        <f t="shared" si="7"/>
        <v>-0.31996198383045449</v>
      </c>
      <c r="T35" s="2"/>
      <c r="U35" s="2"/>
      <c r="V35" s="2"/>
      <c r="W35" s="5"/>
      <c r="X35" s="6"/>
      <c r="Y35" s="66">
        <v>21</v>
      </c>
      <c r="Z35" s="50">
        <f t="shared" si="8"/>
        <v>36456</v>
      </c>
      <c r="AA35" s="51">
        <f t="shared" si="9"/>
        <v>47673.230769230766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45891</v>
      </c>
      <c r="B36" s="58">
        <f t="shared" si="0"/>
        <v>22</v>
      </c>
      <c r="C36" s="40">
        <f t="shared" si="1"/>
        <v>6</v>
      </c>
      <c r="D36" s="59">
        <v>54906.77</v>
      </c>
      <c r="E36" s="42">
        <f t="shared" si="12"/>
        <v>966255.82000000007</v>
      </c>
      <c r="F36" s="60">
        <v>57</v>
      </c>
      <c r="G36" s="61">
        <v>36</v>
      </c>
      <c r="H36" s="26">
        <f t="shared" si="13"/>
        <v>46256</v>
      </c>
      <c r="I36" s="58">
        <f t="shared" si="2"/>
        <v>22</v>
      </c>
      <c r="J36" s="40">
        <f t="shared" si="3"/>
        <v>7</v>
      </c>
      <c r="K36" s="59">
        <v>36899.39</v>
      </c>
      <c r="L36" s="42">
        <f t="shared" si="14"/>
        <v>656651.39</v>
      </c>
      <c r="M36" s="60">
        <v>27</v>
      </c>
      <c r="N36" s="61">
        <v>20</v>
      </c>
      <c r="O36" s="5"/>
      <c r="P36" s="62">
        <f t="shared" si="4"/>
        <v>-18007.379999999997</v>
      </c>
      <c r="Q36" s="63">
        <f t="shared" si="5"/>
        <v>-0.32796283591258413</v>
      </c>
      <c r="R36" s="64">
        <f t="shared" si="6"/>
        <v>-309604.43000000005</v>
      </c>
      <c r="S36" s="65">
        <f t="shared" si="7"/>
        <v>-0.32041662631330903</v>
      </c>
      <c r="T36" s="2"/>
      <c r="U36" s="2"/>
      <c r="V36" s="2"/>
      <c r="W36" s="5"/>
      <c r="X36" s="6"/>
      <c r="Y36" s="66">
        <v>22</v>
      </c>
      <c r="Z36" s="50">
        <f t="shared" si="8"/>
        <v>24320.421851851854</v>
      </c>
      <c r="AA36" s="51">
        <f t="shared" si="9"/>
        <v>32832.569499999998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45892</v>
      </c>
      <c r="B37" s="58">
        <f t="shared" si="0"/>
        <v>23</v>
      </c>
      <c r="C37" s="40">
        <f t="shared" si="1"/>
        <v>7</v>
      </c>
      <c r="D37" s="59">
        <v>55672.52</v>
      </c>
      <c r="E37" s="42">
        <f t="shared" si="12"/>
        <v>1021928.3400000001</v>
      </c>
      <c r="F37" s="60">
        <v>51</v>
      </c>
      <c r="G37" s="61">
        <v>34</v>
      </c>
      <c r="H37" s="26">
        <f t="shared" si="13"/>
        <v>46257</v>
      </c>
      <c r="I37" s="58">
        <f t="shared" si="2"/>
        <v>23</v>
      </c>
      <c r="J37" s="40">
        <f t="shared" si="3"/>
        <v>1</v>
      </c>
      <c r="K37" s="59">
        <v>38915.81</v>
      </c>
      <c r="L37" s="42">
        <f t="shared" si="14"/>
        <v>695567.2</v>
      </c>
      <c r="M37" s="60">
        <v>28</v>
      </c>
      <c r="N37" s="61">
        <v>22</v>
      </c>
      <c r="O37" s="5"/>
      <c r="P37" s="62">
        <f t="shared" si="4"/>
        <v>-16756.71</v>
      </c>
      <c r="Q37" s="63">
        <f t="shared" si="5"/>
        <v>-0.30098709381217159</v>
      </c>
      <c r="R37" s="64">
        <f t="shared" si="6"/>
        <v>-326361.14000000013</v>
      </c>
      <c r="S37" s="65">
        <f t="shared" si="7"/>
        <v>-0.31935814599289825</v>
      </c>
      <c r="T37" s="2"/>
      <c r="U37" s="2"/>
      <c r="V37" s="2"/>
      <c r="W37" s="5"/>
      <c r="X37" s="6"/>
      <c r="Y37" s="66">
        <v>23</v>
      </c>
      <c r="Z37" s="50">
        <f t="shared" si="8"/>
        <v>24841.685714285712</v>
      </c>
      <c r="AA37" s="51">
        <f t="shared" si="9"/>
        <v>31616.690909090907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45893</v>
      </c>
      <c r="B38" s="58">
        <f t="shared" si="0"/>
        <v>24</v>
      </c>
      <c r="C38" s="40">
        <f t="shared" si="1"/>
        <v>1</v>
      </c>
      <c r="D38" s="59">
        <v>61406.32</v>
      </c>
      <c r="E38" s="42">
        <f t="shared" si="12"/>
        <v>1083334.6600000001</v>
      </c>
      <c r="F38" s="60">
        <v>60</v>
      </c>
      <c r="G38" s="61">
        <v>39</v>
      </c>
      <c r="H38" s="26">
        <f t="shared" si="13"/>
        <v>46258</v>
      </c>
      <c r="I38" s="58">
        <f t="shared" si="2"/>
        <v>24</v>
      </c>
      <c r="J38" s="40">
        <f t="shared" si="3"/>
        <v>2</v>
      </c>
      <c r="K38" s="59">
        <v>13827.58</v>
      </c>
      <c r="L38" s="42">
        <f t="shared" si="14"/>
        <v>709394.77999999991</v>
      </c>
      <c r="M38" s="60">
        <v>12</v>
      </c>
      <c r="N38" s="61">
        <v>9</v>
      </c>
      <c r="O38" s="5"/>
      <c r="P38" s="62">
        <f t="shared" si="4"/>
        <v>-47578.74</v>
      </c>
      <c r="Q38" s="63">
        <f t="shared" si="5"/>
        <v>-0.77481829231909682</v>
      </c>
      <c r="R38" s="64">
        <f t="shared" si="6"/>
        <v>-373939.88000000024</v>
      </c>
      <c r="S38" s="65">
        <f t="shared" si="7"/>
        <v>-0.34517485113972091</v>
      </c>
      <c r="T38" s="2"/>
      <c r="U38" s="2"/>
      <c r="V38" s="2"/>
      <c r="W38" s="5"/>
      <c r="X38" s="6"/>
      <c r="Y38" s="66">
        <v>24</v>
      </c>
      <c r="Z38" s="50">
        <f t="shared" si="8"/>
        <v>59116.231666666659</v>
      </c>
      <c r="AA38" s="51">
        <f t="shared" si="9"/>
        <v>78821.642222222217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45894</v>
      </c>
      <c r="B39" s="58">
        <f t="shared" si="0"/>
        <v>25</v>
      </c>
      <c r="C39" s="40">
        <f t="shared" si="1"/>
        <v>2</v>
      </c>
      <c r="D39" s="59">
        <v>42647.07</v>
      </c>
      <c r="E39" s="42">
        <f t="shared" si="12"/>
        <v>1125981.7300000002</v>
      </c>
      <c r="F39" s="60">
        <v>41</v>
      </c>
      <c r="G39" s="61">
        <v>28</v>
      </c>
      <c r="H39" s="26">
        <f t="shared" si="13"/>
        <v>46259</v>
      </c>
      <c r="I39" s="58">
        <f t="shared" si="2"/>
        <v>25</v>
      </c>
      <c r="J39" s="40">
        <f t="shared" si="3"/>
        <v>3</v>
      </c>
      <c r="K39" s="59">
        <v>0</v>
      </c>
      <c r="L39" s="42">
        <f t="shared" si="14"/>
        <v>709394.77999999991</v>
      </c>
      <c r="M39" s="60">
        <v>0</v>
      </c>
      <c r="N39" s="61">
        <v>0</v>
      </c>
      <c r="O39" s="5"/>
      <c r="P39" s="62">
        <f t="shared" si="4"/>
        <v>-42647.07</v>
      </c>
      <c r="Q39" s="63">
        <f t="shared" si="5"/>
        <v>-1</v>
      </c>
      <c r="R39" s="64">
        <f t="shared" si="6"/>
        <v>-416586.9500000003</v>
      </c>
      <c r="S39" s="65">
        <f t="shared" si="7"/>
        <v>-0.36997665139735458</v>
      </c>
      <c r="T39" s="2"/>
      <c r="U39" s="2"/>
      <c r="V39" s="2"/>
      <c r="W39" s="5"/>
      <c r="X39" s="6"/>
      <c r="Y39" s="66">
        <v>25</v>
      </c>
      <c r="Z39" s="50" t="str">
        <f t="shared" si="8"/>
        <v xml:space="preserve"> </v>
      </c>
      <c r="AA39" s="51" t="str">
        <f t="shared" si="9"/>
        <v xml:space="preserve"> 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45895</v>
      </c>
      <c r="B40" s="58">
        <f t="shared" si="0"/>
        <v>26</v>
      </c>
      <c r="C40" s="40">
        <f t="shared" si="1"/>
        <v>3</v>
      </c>
      <c r="D40" s="59">
        <v>38750.400000000001</v>
      </c>
      <c r="E40" s="42">
        <f t="shared" si="12"/>
        <v>1164732.1300000001</v>
      </c>
      <c r="F40" s="60">
        <v>36</v>
      </c>
      <c r="G40" s="61">
        <v>23</v>
      </c>
      <c r="H40" s="26">
        <f t="shared" si="13"/>
        <v>46260</v>
      </c>
      <c r="I40" s="58">
        <f t="shared" si="2"/>
        <v>26</v>
      </c>
      <c r="J40" s="40">
        <f t="shared" si="3"/>
        <v>4</v>
      </c>
      <c r="K40" s="59">
        <v>33050.699999999997</v>
      </c>
      <c r="L40" s="42">
        <f t="shared" si="14"/>
        <v>742445.47999999986</v>
      </c>
      <c r="M40" s="60">
        <v>37</v>
      </c>
      <c r="N40" s="61">
        <v>24</v>
      </c>
      <c r="O40" s="5"/>
      <c r="P40" s="62">
        <f t="shared" si="4"/>
        <v>-5699.7000000000044</v>
      </c>
      <c r="Q40" s="63">
        <f t="shared" si="5"/>
        <v>-0.14708751393534014</v>
      </c>
      <c r="R40" s="64">
        <f t="shared" si="6"/>
        <v>-422286.65000000026</v>
      </c>
      <c r="S40" s="65">
        <f t="shared" si="7"/>
        <v>-0.3625611753322201</v>
      </c>
      <c r="T40" s="2"/>
      <c r="U40" s="2"/>
      <c r="V40" s="2"/>
      <c r="W40" s="5"/>
      <c r="X40" s="6"/>
      <c r="Y40" s="66">
        <v>26</v>
      </c>
      <c r="Z40" s="50">
        <f t="shared" si="8"/>
        <v>20066.094054054051</v>
      </c>
      <c r="AA40" s="51">
        <f t="shared" si="9"/>
        <v>30935.228333333329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45896</v>
      </c>
      <c r="B41" s="58">
        <f t="shared" si="0"/>
        <v>27</v>
      </c>
      <c r="C41" s="40">
        <f t="shared" si="1"/>
        <v>4</v>
      </c>
      <c r="D41" s="59">
        <v>32949.67</v>
      </c>
      <c r="E41" s="42">
        <f t="shared" si="12"/>
        <v>1197681.8</v>
      </c>
      <c r="F41" s="60">
        <v>29</v>
      </c>
      <c r="G41" s="61">
        <v>26</v>
      </c>
      <c r="H41" s="26">
        <f t="shared" si="13"/>
        <v>46261</v>
      </c>
      <c r="I41" s="58">
        <f t="shared" si="2"/>
        <v>27</v>
      </c>
      <c r="J41" s="40">
        <f t="shared" si="3"/>
        <v>5</v>
      </c>
      <c r="K41" s="59">
        <v>13445.86</v>
      </c>
      <c r="L41" s="42">
        <f t="shared" si="14"/>
        <v>755891.33999999985</v>
      </c>
      <c r="M41" s="60">
        <v>14</v>
      </c>
      <c r="N41" s="61">
        <v>13</v>
      </c>
      <c r="O41" s="5"/>
      <c r="P41" s="62">
        <f t="shared" si="4"/>
        <v>-19503.809999999998</v>
      </c>
      <c r="Q41" s="63">
        <f t="shared" si="5"/>
        <v>-0.59192732431007644</v>
      </c>
      <c r="R41" s="64">
        <f t="shared" si="6"/>
        <v>-441790.4600000002</v>
      </c>
      <c r="S41" s="65">
        <f t="shared" si="7"/>
        <v>-0.36887131456785949</v>
      </c>
      <c r="T41" s="2"/>
      <c r="U41" s="2"/>
      <c r="V41" s="2"/>
      <c r="W41" s="5"/>
      <c r="X41" s="6"/>
      <c r="Y41" s="66">
        <v>27</v>
      </c>
      <c r="Z41" s="50">
        <f t="shared" si="8"/>
        <v>53992.238571428563</v>
      </c>
      <c r="AA41" s="51">
        <f t="shared" si="9"/>
        <v>58145.487692307681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45897</v>
      </c>
      <c r="B42" s="58">
        <f t="shared" si="0"/>
        <v>28</v>
      </c>
      <c r="C42" s="40">
        <f t="shared" si="1"/>
        <v>5</v>
      </c>
      <c r="D42" s="59">
        <v>48199.19</v>
      </c>
      <c r="E42" s="42">
        <f t="shared" si="12"/>
        <v>1245880.99</v>
      </c>
      <c r="F42" s="60">
        <v>39</v>
      </c>
      <c r="G42" s="61">
        <v>32</v>
      </c>
      <c r="H42" s="26">
        <f t="shared" si="13"/>
        <v>46262</v>
      </c>
      <c r="I42" s="58">
        <f t="shared" si="2"/>
        <v>28</v>
      </c>
      <c r="J42" s="40">
        <f t="shared" si="3"/>
        <v>6</v>
      </c>
      <c r="K42" s="59">
        <v>27542.25</v>
      </c>
      <c r="L42" s="42">
        <f t="shared" si="14"/>
        <v>783433.58999999985</v>
      </c>
      <c r="M42" s="60">
        <v>22</v>
      </c>
      <c r="N42" s="61">
        <v>18</v>
      </c>
      <c r="O42" s="5"/>
      <c r="P42" s="62">
        <f t="shared" si="4"/>
        <v>-20656.940000000002</v>
      </c>
      <c r="Q42" s="63">
        <f t="shared" si="5"/>
        <v>-0.42857442210128427</v>
      </c>
      <c r="R42" s="64">
        <f t="shared" si="6"/>
        <v>-462447.40000000014</v>
      </c>
      <c r="S42" s="65">
        <f t="shared" si="7"/>
        <v>-0.3711810387282658</v>
      </c>
      <c r="T42" s="2"/>
      <c r="U42" s="2"/>
      <c r="V42" s="2"/>
      <c r="W42" s="5"/>
      <c r="X42" s="6"/>
      <c r="Y42" s="66">
        <v>28</v>
      </c>
      <c r="Z42" s="50">
        <f t="shared" si="8"/>
        <v>35610.617727272722</v>
      </c>
      <c r="AA42" s="51">
        <f t="shared" si="9"/>
        <v>43524.088333333326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45898</v>
      </c>
      <c r="B43" s="58">
        <f t="shared" si="0"/>
        <v>29</v>
      </c>
      <c r="C43" s="40">
        <f t="shared" si="1"/>
        <v>6</v>
      </c>
      <c r="D43" s="59">
        <v>43371.49</v>
      </c>
      <c r="E43" s="42">
        <f t="shared" si="12"/>
        <v>1289252.48</v>
      </c>
      <c r="F43" s="60">
        <v>40</v>
      </c>
      <c r="G43" s="61">
        <v>32</v>
      </c>
      <c r="H43" s="26">
        <f t="shared" si="13"/>
        <v>46263</v>
      </c>
      <c r="I43" s="58">
        <f t="shared" si="2"/>
        <v>29</v>
      </c>
      <c r="J43" s="40">
        <f t="shared" si="3"/>
        <v>7</v>
      </c>
      <c r="K43" s="59">
        <v>36642.65</v>
      </c>
      <c r="L43" s="42">
        <f t="shared" si="14"/>
        <v>820076.23999999987</v>
      </c>
      <c r="M43" s="60">
        <v>25</v>
      </c>
      <c r="N43" s="61">
        <v>20</v>
      </c>
      <c r="O43" s="5"/>
      <c r="P43" s="62">
        <f t="shared" si="4"/>
        <v>-6728.8399999999965</v>
      </c>
      <c r="Q43" s="63">
        <f t="shared" si="5"/>
        <v>-0.15514431254264027</v>
      </c>
      <c r="R43" s="64">
        <f t="shared" si="6"/>
        <v>-469176.24000000011</v>
      </c>
      <c r="S43" s="65">
        <f t="shared" si="7"/>
        <v>-0.36391338956354002</v>
      </c>
      <c r="T43" s="2"/>
      <c r="U43" s="2"/>
      <c r="V43" s="2"/>
      <c r="W43" s="5"/>
      <c r="X43" s="6"/>
      <c r="Y43" s="66">
        <v>29</v>
      </c>
      <c r="Z43" s="50">
        <f t="shared" si="8"/>
        <v>32803.049599999998</v>
      </c>
      <c r="AA43" s="51">
        <f t="shared" si="9"/>
        <v>41003.811999999991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45899</v>
      </c>
      <c r="B44" s="58">
        <f t="shared" si="0"/>
        <v>30</v>
      </c>
      <c r="C44" s="40">
        <f t="shared" si="1"/>
        <v>7</v>
      </c>
      <c r="D44" s="59">
        <v>48713.760000000002</v>
      </c>
      <c r="E44" s="42">
        <f t="shared" si="12"/>
        <v>1337966.24</v>
      </c>
      <c r="F44" s="60">
        <v>54</v>
      </c>
      <c r="G44" s="61">
        <v>42</v>
      </c>
      <c r="H44" s="26">
        <f t="shared" si="13"/>
        <v>46264</v>
      </c>
      <c r="I44" s="58">
        <f t="shared" si="2"/>
        <v>30</v>
      </c>
      <c r="J44" s="40">
        <f t="shared" si="3"/>
        <v>1</v>
      </c>
      <c r="K44" s="59">
        <v>48186.37</v>
      </c>
      <c r="L44" s="42">
        <f t="shared" si="14"/>
        <v>868262.60999999987</v>
      </c>
      <c r="M44" s="60">
        <v>36</v>
      </c>
      <c r="N44" s="61">
        <v>22</v>
      </c>
      <c r="O44" s="5"/>
      <c r="P44" s="62">
        <f t="shared" si="4"/>
        <v>-527.38999999999942</v>
      </c>
      <c r="Q44" s="63">
        <f t="shared" si="5"/>
        <v>-1.0826304518476881E-2</v>
      </c>
      <c r="R44" s="64">
        <f t="shared" si="6"/>
        <v>-469703.63000000012</v>
      </c>
      <c r="S44" s="65">
        <f t="shared" si="7"/>
        <v>-0.35105790860612451</v>
      </c>
      <c r="T44" s="2"/>
      <c r="U44" s="2"/>
      <c r="V44" s="2"/>
      <c r="W44" s="5"/>
      <c r="X44" s="6"/>
      <c r="Y44" s="66">
        <v>30</v>
      </c>
      <c r="Z44" s="50">
        <f t="shared" si="8"/>
        <v>24118.405833333331</v>
      </c>
      <c r="AA44" s="51">
        <f t="shared" si="9"/>
        <v>39466.482272727269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45900</v>
      </c>
      <c r="B45" s="74">
        <f t="shared" si="0"/>
        <v>31</v>
      </c>
      <c r="C45" s="75">
        <f t="shared" si="1"/>
        <v>1</v>
      </c>
      <c r="D45" s="76">
        <v>65809.55</v>
      </c>
      <c r="E45" s="77">
        <f t="shared" si="12"/>
        <v>1403775.79</v>
      </c>
      <c r="F45" s="78">
        <v>91</v>
      </c>
      <c r="G45" s="79">
        <v>58</v>
      </c>
      <c r="H45" s="26">
        <f t="shared" si="13"/>
        <v>46265</v>
      </c>
      <c r="I45" s="74">
        <f t="shared" si="2"/>
        <v>31</v>
      </c>
      <c r="J45" s="40">
        <f t="shared" si="3"/>
        <v>2</v>
      </c>
      <c r="K45" s="76">
        <v>18143.46</v>
      </c>
      <c r="L45" s="77">
        <f t="shared" si="14"/>
        <v>886406.06999999983</v>
      </c>
      <c r="M45" s="78">
        <v>14</v>
      </c>
      <c r="N45" s="79">
        <v>10</v>
      </c>
      <c r="O45" s="5"/>
      <c r="P45" s="80">
        <f t="shared" si="4"/>
        <v>-47666.090000000004</v>
      </c>
      <c r="Q45" s="81">
        <f t="shared" si="5"/>
        <v>-0.72430353953187643</v>
      </c>
      <c r="R45" s="82">
        <f t="shared" si="6"/>
        <v>-517369.7200000002</v>
      </c>
      <c r="S45" s="83">
        <f t="shared" si="7"/>
        <v>-0.36855580761939211</v>
      </c>
      <c r="T45" s="2"/>
      <c r="U45" s="2"/>
      <c r="V45" s="2"/>
      <c r="W45" s="5"/>
      <c r="X45" s="6"/>
      <c r="Y45" s="84">
        <v>31</v>
      </c>
      <c r="Z45" s="50">
        <f t="shared" si="8"/>
        <v>63314.719285714273</v>
      </c>
      <c r="AA45" s="51">
        <f t="shared" si="9"/>
        <v>88640.606999999989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1383</v>
      </c>
      <c r="G46" s="89">
        <f t="shared" si="45"/>
        <v>927</v>
      </c>
      <c r="H46" s="2"/>
      <c r="I46" s="2"/>
      <c r="J46" s="2"/>
      <c r="K46" s="2" t="s">
        <v>57</v>
      </c>
      <c r="L46" s="2"/>
      <c r="M46" s="89">
        <f t="shared" ref="M46:N46" si="46">SUM(M15:M45)</f>
        <v>792</v>
      </c>
      <c r="N46" s="89">
        <f t="shared" si="46"/>
        <v>580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1528.2863275862067</v>
      </c>
      <c r="AA46" s="92">
        <f>IFERROR(M46/N46,0)</f>
        <v>1.3655172413793104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1403775.79</v>
      </c>
      <c r="F47" s="97"/>
      <c r="G47" s="97"/>
      <c r="H47" s="98"/>
      <c r="I47" s="129" t="s">
        <v>40</v>
      </c>
      <c r="J47" s="130"/>
      <c r="K47" s="96">
        <f>SUM(K15:K45)</f>
        <v>886406.06999999983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1628379.9164</v>
      </c>
      <c r="F48" s="97"/>
      <c r="G48" s="97"/>
      <c r="H48" s="104"/>
      <c r="I48" s="129" t="s">
        <v>43</v>
      </c>
      <c r="J48" s="130"/>
      <c r="K48" s="103">
        <f>K47*1.16</f>
        <v>1028231.0411999997</v>
      </c>
      <c r="L48" s="105" t="s">
        <v>44</v>
      </c>
      <c r="M48" s="106"/>
      <c r="N48" s="106"/>
      <c r="O48" s="106"/>
      <c r="P48" s="106"/>
      <c r="Q48" s="106"/>
      <c r="R48" s="107">
        <f>K47-E47</f>
        <v>-517369.7200000002</v>
      </c>
      <c r="S48" s="108">
        <f>IFERROR(+K47/E47-1,0)</f>
        <v>-0.36855580761939211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59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-886406.06999999983</v>
      </c>
      <c r="BN49" s="113">
        <f t="shared" ref="BN49:BO49" si="48">+BN46-M46</f>
        <v>-792</v>
      </c>
      <c r="BO49" s="114">
        <f t="shared" si="48"/>
        <v>-580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29" priority="1" operator="lessThan">
      <formula>0</formula>
    </cfRule>
  </conditionalFormatting>
  <conditionalFormatting sqref="E47:G48 K47:K48">
    <cfRule type="cellIs" dxfId="28" priority="2" operator="lessThan">
      <formula>0</formula>
    </cfRule>
  </conditionalFormatting>
  <conditionalFormatting sqref="K15:L45">
    <cfRule type="cellIs" dxfId="27" priority="3" operator="lessThan">
      <formula>0</formula>
    </cfRule>
  </conditionalFormatting>
  <conditionalFormatting sqref="P15:S45">
    <cfRule type="cellIs" dxfId="26" priority="4" operator="lessThan">
      <formula>0</formula>
    </cfRule>
  </conditionalFormatting>
  <conditionalFormatting sqref="R48:S48">
    <cfRule type="cellIs" dxfId="25" priority="5" operator="lessThan">
      <formula>0</formula>
    </cfRule>
  </conditionalFormatting>
  <conditionalFormatting sqref="V8">
    <cfRule type="expression" dxfId="24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7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7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7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700-000003000000}">
          <x14:formula1>
            <xm:f>DTA!$I$4:$I$18</xm:f>
          </x14:formula1>
          <xm:sqref>D8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I1000"/>
  <sheetViews>
    <sheetView showGridLines="0" tabSelected="1" topLeftCell="A2" workbookViewId="0">
      <selection activeCell="K19" sqref="K19"/>
    </sheetView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65" width="11.5703125" customWidth="1" collapsed="1"/>
    <col min="66" max="87" width="11.5703125" customWidth="1"/>
  </cols>
  <sheetData>
    <row r="1" spans="1:87" ht="14.25" hidden="1" customHeight="1" x14ac:dyDescent="0.25">
      <c r="A1" s="1"/>
      <c r="B1" s="2"/>
      <c r="C1" s="3">
        <f>C3</f>
        <v>2025</v>
      </c>
      <c r="D1" s="3">
        <f>VLOOKUP(D3,DTA!$B$3:$C$15,2,FALSE)</f>
        <v>9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2025</v>
      </c>
      <c r="D3" s="11" t="s">
        <v>60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2026</v>
      </c>
      <c r="R8" s="11" t="s">
        <v>60</v>
      </c>
      <c r="S8" s="11">
        <v>1</v>
      </c>
      <c r="T8" s="2"/>
      <c r="U8" s="138"/>
      <c r="V8" s="16">
        <v>1343206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2026</v>
      </c>
      <c r="R10" s="18">
        <f>VLOOKUP(R8,DTA!$B$3:$C$15,2,FALSE)</f>
        <v>9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10</v>
      </c>
      <c r="C13" s="147"/>
      <c r="D13" s="147"/>
      <c r="E13" s="147"/>
      <c r="F13" s="147"/>
      <c r="G13" s="148"/>
      <c r="H13" s="5"/>
      <c r="I13" s="149" t="s">
        <v>11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6.6308071881751571E-2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45901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46266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45901</v>
      </c>
      <c r="B15" s="39">
        <f t="shared" ref="B15:B45" si="0">+DAY(A15)</f>
        <v>1</v>
      </c>
      <c r="C15" s="40">
        <f t="shared" ref="C15:C45" si="1">+WEEKDAY(A15)</f>
        <v>2</v>
      </c>
      <c r="D15" s="115">
        <v>29649.08</v>
      </c>
      <c r="E15" s="42">
        <f>D15</f>
        <v>29649.08</v>
      </c>
      <c r="F15" s="43">
        <v>28</v>
      </c>
      <c r="G15" s="44">
        <v>24</v>
      </c>
      <c r="H15" s="26">
        <f>H14</f>
        <v>46266</v>
      </c>
      <c r="I15" s="39">
        <f t="shared" ref="I15:I45" si="2">+DAY(H15)</f>
        <v>1</v>
      </c>
      <c r="J15" s="40">
        <f t="shared" ref="J15:J45" si="3">+WEEKDAY(H15)</f>
        <v>3</v>
      </c>
      <c r="K15" s="41">
        <v>16598.509999999998</v>
      </c>
      <c r="L15" s="42">
        <f>K15</f>
        <v>16598.509999999998</v>
      </c>
      <c r="M15" s="43">
        <v>19</v>
      </c>
      <c r="N15" s="44">
        <v>16</v>
      </c>
      <c r="O15" s="5"/>
      <c r="P15" s="45">
        <f t="shared" ref="P15:P45" si="4">IF(NOT(ISBLANK(K15)),SUM(K15-D15),"")</f>
        <v>-13050.570000000003</v>
      </c>
      <c r="Q15" s="46">
        <f t="shared" ref="Q15:Q45" si="5">IF(NOT(ISBLANK(K15)),IFERROR(((K15/D15)-1)," ")," ")</f>
        <v>-0.44016778935467826</v>
      </c>
      <c r="R15" s="47">
        <f t="shared" ref="R15:R45" si="6">IF(NOT(ISBLANK(K15)),SUM(L15-E15),"")</f>
        <v>-13050.570000000003</v>
      </c>
      <c r="S15" s="48">
        <f t="shared" ref="S15:S45" si="7">IFERROR(((L15/E15)-1),"")</f>
        <v>-0.44016778935467826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873.60578947368413</v>
      </c>
      <c r="AA15" s="51">
        <f t="shared" ref="AA15:AA45" si="9">IFERROR((L15/N15)," ")</f>
        <v>1037.4068749999999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45902</v>
      </c>
      <c r="B16" s="58">
        <f t="shared" si="0"/>
        <v>2</v>
      </c>
      <c r="C16" s="40">
        <f t="shared" si="1"/>
        <v>3</v>
      </c>
      <c r="D16" s="116">
        <v>36681.56</v>
      </c>
      <c r="E16" s="42">
        <f t="shared" ref="E16:E45" si="12">IF(NOT(ISBLANK(D16)),SUM(E15+D16),"")</f>
        <v>66330.64</v>
      </c>
      <c r="F16" s="60">
        <v>35</v>
      </c>
      <c r="G16" s="61">
        <v>22</v>
      </c>
      <c r="H16" s="26">
        <f t="shared" ref="H16:H45" si="13">H15+1</f>
        <v>46267</v>
      </c>
      <c r="I16" s="58">
        <f t="shared" si="2"/>
        <v>2</v>
      </c>
      <c r="J16" s="40">
        <f t="shared" si="3"/>
        <v>4</v>
      </c>
      <c r="K16" s="59">
        <v>29984.15</v>
      </c>
      <c r="L16" s="42">
        <f t="shared" ref="L16:L45" si="14">IF(NOT(ISBLANK(K16)),SUM(L15+K16),"")</f>
        <v>46582.66</v>
      </c>
      <c r="M16" s="60">
        <v>16</v>
      </c>
      <c r="N16" s="61">
        <v>37</v>
      </c>
      <c r="O16" s="5"/>
      <c r="P16" s="62">
        <f t="shared" si="4"/>
        <v>-6697.4099999999962</v>
      </c>
      <c r="Q16" s="63">
        <f t="shared" si="5"/>
        <v>-0.18258247468210176</v>
      </c>
      <c r="R16" s="64">
        <f t="shared" si="6"/>
        <v>-19747.979999999996</v>
      </c>
      <c r="S16" s="65">
        <f t="shared" si="7"/>
        <v>-0.29772032954905903</v>
      </c>
      <c r="T16" s="2"/>
      <c r="U16" s="2"/>
      <c r="V16" s="2"/>
      <c r="W16" s="5"/>
      <c r="X16" s="6"/>
      <c r="Y16" s="66">
        <v>2</v>
      </c>
      <c r="Z16" s="50">
        <f t="shared" si="8"/>
        <v>2911.4162500000002</v>
      </c>
      <c r="AA16" s="51">
        <f t="shared" si="9"/>
        <v>1258.9908108108109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45903</v>
      </c>
      <c r="B17" s="58">
        <f t="shared" si="0"/>
        <v>3</v>
      </c>
      <c r="C17" s="40">
        <f t="shared" si="1"/>
        <v>4</v>
      </c>
      <c r="D17" s="116">
        <v>22746.76</v>
      </c>
      <c r="E17" s="42">
        <f t="shared" si="12"/>
        <v>89077.4</v>
      </c>
      <c r="F17" s="60">
        <v>25</v>
      </c>
      <c r="G17" s="61">
        <v>15</v>
      </c>
      <c r="H17" s="26">
        <f t="shared" si="13"/>
        <v>46268</v>
      </c>
      <c r="I17" s="58">
        <f t="shared" si="2"/>
        <v>3</v>
      </c>
      <c r="J17" s="40">
        <f t="shared" si="3"/>
        <v>5</v>
      </c>
      <c r="K17" s="59">
        <v>18359.11</v>
      </c>
      <c r="L17" s="42">
        <f t="shared" si="14"/>
        <v>64941.770000000004</v>
      </c>
      <c r="M17" s="60">
        <v>15</v>
      </c>
      <c r="N17" s="61">
        <v>12</v>
      </c>
      <c r="O17" s="5"/>
      <c r="P17" s="62">
        <f t="shared" si="4"/>
        <v>-4387.6499999999978</v>
      </c>
      <c r="Q17" s="63">
        <f t="shared" si="5"/>
        <v>-0.19289120736315846</v>
      </c>
      <c r="R17" s="64">
        <f t="shared" si="6"/>
        <v>-24135.62999999999</v>
      </c>
      <c r="S17" s="65">
        <f t="shared" si="7"/>
        <v>-0.27095121770505193</v>
      </c>
      <c r="T17" s="2"/>
      <c r="U17" s="2"/>
      <c r="V17" s="2"/>
      <c r="W17" s="5"/>
      <c r="X17" s="6"/>
      <c r="Y17" s="66">
        <v>3</v>
      </c>
      <c r="Z17" s="50">
        <f t="shared" si="8"/>
        <v>4329.4513333333334</v>
      </c>
      <c r="AA17" s="51">
        <f t="shared" si="9"/>
        <v>5411.814166666667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45904</v>
      </c>
      <c r="B18" s="58">
        <f t="shared" si="0"/>
        <v>4</v>
      </c>
      <c r="C18" s="40">
        <f t="shared" si="1"/>
        <v>5</v>
      </c>
      <c r="D18" s="116">
        <v>30343.919999999998</v>
      </c>
      <c r="E18" s="42">
        <f t="shared" si="12"/>
        <v>119421.31999999999</v>
      </c>
      <c r="F18" s="60">
        <v>32</v>
      </c>
      <c r="G18" s="61">
        <v>20</v>
      </c>
      <c r="H18" s="26">
        <f t="shared" si="13"/>
        <v>46269</v>
      </c>
      <c r="I18" s="58">
        <f t="shared" si="2"/>
        <v>4</v>
      </c>
      <c r="J18" s="40">
        <f t="shared" si="3"/>
        <v>6</v>
      </c>
      <c r="K18" s="59">
        <v>24123.63</v>
      </c>
      <c r="L18" s="42">
        <f t="shared" si="14"/>
        <v>89065.400000000009</v>
      </c>
      <c r="M18" s="60">
        <v>23</v>
      </c>
      <c r="N18" s="61">
        <v>18</v>
      </c>
      <c r="O18" s="5"/>
      <c r="P18" s="62">
        <f t="shared" si="4"/>
        <v>-6220.2899999999972</v>
      </c>
      <c r="Q18" s="63">
        <f t="shared" si="5"/>
        <v>-0.20499296069855177</v>
      </c>
      <c r="R18" s="64">
        <f t="shared" si="6"/>
        <v>-30355.919999999984</v>
      </c>
      <c r="S18" s="65">
        <f t="shared" si="7"/>
        <v>-0.25419179757852273</v>
      </c>
      <c r="T18" s="2"/>
      <c r="U18" s="2"/>
      <c r="V18" s="2"/>
      <c r="W18" s="5"/>
      <c r="X18" s="6"/>
      <c r="Y18" s="66">
        <v>4</v>
      </c>
      <c r="Z18" s="50">
        <f t="shared" si="8"/>
        <v>3872.4086956521742</v>
      </c>
      <c r="AA18" s="51">
        <f t="shared" si="9"/>
        <v>4948.0777777777785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45905</v>
      </c>
      <c r="B19" s="58">
        <f t="shared" si="0"/>
        <v>5</v>
      </c>
      <c r="C19" s="40">
        <f t="shared" si="1"/>
        <v>6</v>
      </c>
      <c r="D19" s="116">
        <v>17347.07</v>
      </c>
      <c r="E19" s="42">
        <f t="shared" si="12"/>
        <v>136768.38999999998</v>
      </c>
      <c r="F19" s="60">
        <v>23</v>
      </c>
      <c r="G19" s="61">
        <v>13</v>
      </c>
      <c r="H19" s="26">
        <f t="shared" si="13"/>
        <v>46270</v>
      </c>
      <c r="I19" s="58">
        <f t="shared" si="2"/>
        <v>5</v>
      </c>
      <c r="J19" s="40">
        <f t="shared" si="3"/>
        <v>7</v>
      </c>
      <c r="K19" s="59"/>
      <c r="L19" s="42" t="str">
        <f t="shared" si="14"/>
        <v/>
      </c>
      <c r="M19" s="60"/>
      <c r="N19" s="61"/>
      <c r="O19" s="5"/>
      <c r="P19" s="62" t="str">
        <f t="shared" si="4"/>
        <v/>
      </c>
      <c r="Q19" s="63" t="str">
        <f t="shared" si="5"/>
        <v xml:space="preserve"> </v>
      </c>
      <c r="R19" s="64" t="str">
        <f t="shared" si="6"/>
        <v/>
      </c>
      <c r="S19" s="65" t="str">
        <f t="shared" si="7"/>
        <v/>
      </c>
      <c r="T19" s="2"/>
      <c r="U19" s="2"/>
      <c r="V19" s="2"/>
      <c r="W19" s="5"/>
      <c r="X19" s="6"/>
      <c r="Y19" s="66">
        <v>5</v>
      </c>
      <c r="Z19" s="50" t="str">
        <f t="shared" si="8"/>
        <v xml:space="preserve"> </v>
      </c>
      <c r="AA19" s="51" t="str">
        <f t="shared" si="9"/>
        <v xml:space="preserve"> 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45906</v>
      </c>
      <c r="B20" s="58">
        <f t="shared" si="0"/>
        <v>6</v>
      </c>
      <c r="C20" s="40">
        <f t="shared" si="1"/>
        <v>7</v>
      </c>
      <c r="D20" s="116">
        <v>39234.870000000003</v>
      </c>
      <c r="E20" s="42">
        <f t="shared" si="12"/>
        <v>176003.25999999998</v>
      </c>
      <c r="F20" s="60">
        <v>42</v>
      </c>
      <c r="G20" s="61">
        <v>34</v>
      </c>
      <c r="H20" s="26">
        <f t="shared" si="13"/>
        <v>46271</v>
      </c>
      <c r="I20" s="58">
        <f t="shared" si="2"/>
        <v>6</v>
      </c>
      <c r="J20" s="40">
        <f t="shared" si="3"/>
        <v>1</v>
      </c>
      <c r="K20" s="59"/>
      <c r="L20" s="42" t="str">
        <f t="shared" si="14"/>
        <v/>
      </c>
      <c r="M20" s="60"/>
      <c r="N20" s="61"/>
      <c r="O20" s="5"/>
      <c r="P20" s="62" t="str">
        <f t="shared" si="4"/>
        <v/>
      </c>
      <c r="Q20" s="63" t="str">
        <f t="shared" si="5"/>
        <v xml:space="preserve"> </v>
      </c>
      <c r="R20" s="64" t="str">
        <f t="shared" si="6"/>
        <v/>
      </c>
      <c r="S20" s="65" t="str">
        <f t="shared" si="7"/>
        <v/>
      </c>
      <c r="T20" s="2"/>
      <c r="U20" s="2"/>
      <c r="V20" s="2"/>
      <c r="W20" s="5"/>
      <c r="X20" s="6"/>
      <c r="Y20" s="66">
        <v>6</v>
      </c>
      <c r="Z20" s="50" t="str">
        <f t="shared" si="8"/>
        <v xml:space="preserve"> </v>
      </c>
      <c r="AA20" s="51" t="str">
        <f t="shared" si="9"/>
        <v xml:space="preserve"> 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45907</v>
      </c>
      <c r="B21" s="58">
        <f t="shared" si="0"/>
        <v>7</v>
      </c>
      <c r="C21" s="40">
        <f t="shared" si="1"/>
        <v>1</v>
      </c>
      <c r="D21" s="116">
        <v>61000.92</v>
      </c>
      <c r="E21" s="42">
        <f t="shared" si="12"/>
        <v>237004.18</v>
      </c>
      <c r="F21" s="60">
        <v>69</v>
      </c>
      <c r="G21" s="61">
        <v>40</v>
      </c>
      <c r="H21" s="26">
        <f t="shared" si="13"/>
        <v>46272</v>
      </c>
      <c r="I21" s="58">
        <f t="shared" si="2"/>
        <v>7</v>
      </c>
      <c r="J21" s="40">
        <f t="shared" si="3"/>
        <v>2</v>
      </c>
      <c r="K21" s="59"/>
      <c r="L21" s="42" t="str">
        <f t="shared" si="14"/>
        <v/>
      </c>
      <c r="M21" s="60"/>
      <c r="N21" s="61"/>
      <c r="O21" s="5"/>
      <c r="P21" s="62" t="str">
        <f t="shared" si="4"/>
        <v/>
      </c>
      <c r="Q21" s="63" t="str">
        <f t="shared" si="5"/>
        <v xml:space="preserve"> </v>
      </c>
      <c r="R21" s="64" t="str">
        <f t="shared" si="6"/>
        <v/>
      </c>
      <c r="S21" s="65" t="str">
        <f t="shared" si="7"/>
        <v/>
      </c>
      <c r="T21" s="2"/>
      <c r="U21" s="2"/>
      <c r="V21" s="2"/>
      <c r="W21" s="5"/>
      <c r="X21" s="6"/>
      <c r="Y21" s="66">
        <v>7</v>
      </c>
      <c r="Z21" s="50" t="str">
        <f t="shared" si="8"/>
        <v xml:space="preserve"> </v>
      </c>
      <c r="AA21" s="51" t="str">
        <f t="shared" si="9"/>
        <v xml:space="preserve"> 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45908</v>
      </c>
      <c r="B22" s="58">
        <f t="shared" si="0"/>
        <v>8</v>
      </c>
      <c r="C22" s="40">
        <f t="shared" si="1"/>
        <v>2</v>
      </c>
      <c r="D22" s="116">
        <v>23742.75</v>
      </c>
      <c r="E22" s="42">
        <f t="shared" si="12"/>
        <v>260746.93</v>
      </c>
      <c r="F22" s="60">
        <v>31</v>
      </c>
      <c r="G22" s="61">
        <v>21</v>
      </c>
      <c r="H22" s="26">
        <f t="shared" si="13"/>
        <v>46273</v>
      </c>
      <c r="I22" s="58">
        <f t="shared" si="2"/>
        <v>8</v>
      </c>
      <c r="J22" s="40">
        <f t="shared" si="3"/>
        <v>3</v>
      </c>
      <c r="K22" s="59"/>
      <c r="L22" s="42" t="str">
        <f t="shared" si="14"/>
        <v/>
      </c>
      <c r="M22" s="60"/>
      <c r="N22" s="61"/>
      <c r="O22" s="5"/>
      <c r="P22" s="62" t="str">
        <f t="shared" si="4"/>
        <v/>
      </c>
      <c r="Q22" s="63" t="str">
        <f t="shared" si="5"/>
        <v xml:space="preserve"> </v>
      </c>
      <c r="R22" s="64" t="str">
        <f t="shared" si="6"/>
        <v/>
      </c>
      <c r="S22" s="65" t="str">
        <f t="shared" si="7"/>
        <v/>
      </c>
      <c r="T22" s="2"/>
      <c r="U22" s="2"/>
      <c r="V22" s="2"/>
      <c r="W22" s="5"/>
      <c r="X22" s="6"/>
      <c r="Y22" s="66">
        <v>8</v>
      </c>
      <c r="Z22" s="50" t="str">
        <f t="shared" si="8"/>
        <v xml:space="preserve"> </v>
      </c>
      <c r="AA22" s="51" t="str">
        <f t="shared" si="9"/>
        <v xml:space="preserve"> 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45909</v>
      </c>
      <c r="B23" s="58">
        <f t="shared" si="0"/>
        <v>9</v>
      </c>
      <c r="C23" s="40">
        <f t="shared" si="1"/>
        <v>3</v>
      </c>
      <c r="D23" s="116">
        <v>27005.200000000001</v>
      </c>
      <c r="E23" s="42">
        <f t="shared" si="12"/>
        <v>287752.13</v>
      </c>
      <c r="F23" s="60">
        <v>24</v>
      </c>
      <c r="G23" s="61">
        <v>18</v>
      </c>
      <c r="H23" s="26">
        <f t="shared" si="13"/>
        <v>46274</v>
      </c>
      <c r="I23" s="58">
        <f t="shared" si="2"/>
        <v>9</v>
      </c>
      <c r="J23" s="40">
        <f t="shared" si="3"/>
        <v>4</v>
      </c>
      <c r="K23" s="59"/>
      <c r="L23" s="42" t="str">
        <f t="shared" si="14"/>
        <v/>
      </c>
      <c r="M23" s="60"/>
      <c r="N23" s="61"/>
      <c r="O23" s="5"/>
      <c r="P23" s="62" t="str">
        <f t="shared" si="4"/>
        <v/>
      </c>
      <c r="Q23" s="63" t="str">
        <f t="shared" si="5"/>
        <v xml:space="preserve"> </v>
      </c>
      <c r="R23" s="64" t="str">
        <f t="shared" si="6"/>
        <v/>
      </c>
      <c r="S23" s="65" t="str">
        <f t="shared" si="7"/>
        <v/>
      </c>
      <c r="T23" s="2"/>
      <c r="U23" s="2"/>
      <c r="V23" s="2"/>
      <c r="W23" s="5"/>
      <c r="X23" s="6"/>
      <c r="Y23" s="66">
        <v>9</v>
      </c>
      <c r="Z23" s="50" t="str">
        <f t="shared" si="8"/>
        <v xml:space="preserve"> </v>
      </c>
      <c r="AA23" s="51" t="str">
        <f t="shared" si="9"/>
        <v xml:space="preserve"> 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45910</v>
      </c>
      <c r="B24" s="58">
        <f t="shared" si="0"/>
        <v>10</v>
      </c>
      <c r="C24" s="40">
        <f t="shared" si="1"/>
        <v>4</v>
      </c>
      <c r="D24" s="116">
        <v>39056.39</v>
      </c>
      <c r="E24" s="42">
        <f t="shared" si="12"/>
        <v>326808.52</v>
      </c>
      <c r="F24" s="60">
        <v>48</v>
      </c>
      <c r="G24" s="61">
        <v>30</v>
      </c>
      <c r="H24" s="26">
        <f t="shared" si="13"/>
        <v>46275</v>
      </c>
      <c r="I24" s="58">
        <f t="shared" si="2"/>
        <v>10</v>
      </c>
      <c r="J24" s="40">
        <f t="shared" si="3"/>
        <v>5</v>
      </c>
      <c r="K24" s="59"/>
      <c r="L24" s="42" t="str">
        <f t="shared" si="14"/>
        <v/>
      </c>
      <c r="M24" s="60"/>
      <c r="N24" s="61"/>
      <c r="O24" s="5"/>
      <c r="P24" s="62" t="str">
        <f t="shared" si="4"/>
        <v/>
      </c>
      <c r="Q24" s="63" t="str">
        <f t="shared" si="5"/>
        <v xml:space="preserve"> </v>
      </c>
      <c r="R24" s="64" t="str">
        <f t="shared" si="6"/>
        <v/>
      </c>
      <c r="S24" s="65" t="str">
        <f t="shared" si="7"/>
        <v/>
      </c>
      <c r="T24" s="2"/>
      <c r="U24" s="2"/>
      <c r="V24" s="2"/>
      <c r="W24" s="5"/>
      <c r="X24" s="6"/>
      <c r="Y24" s="66">
        <v>10</v>
      </c>
      <c r="Z24" s="50" t="str">
        <f t="shared" si="8"/>
        <v xml:space="preserve"> </v>
      </c>
      <c r="AA24" s="51" t="str">
        <f t="shared" si="9"/>
        <v xml:space="preserve"> 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45911</v>
      </c>
      <c r="B25" s="58">
        <f t="shared" si="0"/>
        <v>11</v>
      </c>
      <c r="C25" s="40">
        <f t="shared" si="1"/>
        <v>5</v>
      </c>
      <c r="D25" s="116">
        <v>42633.74</v>
      </c>
      <c r="E25" s="42">
        <f t="shared" si="12"/>
        <v>369442.26</v>
      </c>
      <c r="F25" s="60">
        <v>41</v>
      </c>
      <c r="G25" s="61">
        <v>21</v>
      </c>
      <c r="H25" s="26">
        <f t="shared" si="13"/>
        <v>46276</v>
      </c>
      <c r="I25" s="58">
        <f t="shared" si="2"/>
        <v>11</v>
      </c>
      <c r="J25" s="40">
        <f t="shared" si="3"/>
        <v>6</v>
      </c>
      <c r="K25" s="59"/>
      <c r="L25" s="42" t="str">
        <f t="shared" si="14"/>
        <v/>
      </c>
      <c r="M25" s="60"/>
      <c r="N25" s="61"/>
      <c r="O25" s="5"/>
      <c r="P25" s="62" t="str">
        <f t="shared" si="4"/>
        <v/>
      </c>
      <c r="Q25" s="63" t="str">
        <f t="shared" si="5"/>
        <v xml:space="preserve"> </v>
      </c>
      <c r="R25" s="64" t="str">
        <f t="shared" si="6"/>
        <v/>
      </c>
      <c r="S25" s="65" t="str">
        <f t="shared" si="7"/>
        <v/>
      </c>
      <c r="T25" s="2"/>
      <c r="U25" s="2"/>
      <c r="V25" s="2"/>
      <c r="W25" s="5"/>
      <c r="X25" s="6"/>
      <c r="Y25" s="66">
        <v>11</v>
      </c>
      <c r="Z25" s="50" t="str">
        <f t="shared" si="8"/>
        <v xml:space="preserve"> </v>
      </c>
      <c r="AA25" s="51" t="str">
        <f t="shared" si="9"/>
        <v xml:space="preserve"> 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45912</v>
      </c>
      <c r="B26" s="58">
        <f t="shared" si="0"/>
        <v>12</v>
      </c>
      <c r="C26" s="40">
        <f t="shared" si="1"/>
        <v>6</v>
      </c>
      <c r="D26" s="116">
        <v>44927.199999999997</v>
      </c>
      <c r="E26" s="42">
        <f t="shared" si="12"/>
        <v>414369.46</v>
      </c>
      <c r="F26" s="60">
        <v>55</v>
      </c>
      <c r="G26" s="61">
        <v>31</v>
      </c>
      <c r="H26" s="26">
        <f t="shared" si="13"/>
        <v>46277</v>
      </c>
      <c r="I26" s="58">
        <f t="shared" si="2"/>
        <v>12</v>
      </c>
      <c r="J26" s="40">
        <f t="shared" si="3"/>
        <v>7</v>
      </c>
      <c r="K26" s="59"/>
      <c r="L26" s="42" t="str">
        <f t="shared" si="14"/>
        <v/>
      </c>
      <c r="M26" s="60"/>
      <c r="N26" s="61"/>
      <c r="O26" s="5"/>
      <c r="P26" s="62" t="str">
        <f t="shared" si="4"/>
        <v/>
      </c>
      <c r="Q26" s="63" t="str">
        <f t="shared" si="5"/>
        <v xml:space="preserve"> </v>
      </c>
      <c r="R26" s="64" t="str">
        <f t="shared" si="6"/>
        <v/>
      </c>
      <c r="S26" s="65" t="str">
        <f t="shared" si="7"/>
        <v/>
      </c>
      <c r="T26" s="2"/>
      <c r="U26" s="2"/>
      <c r="V26" s="2"/>
      <c r="W26" s="5"/>
      <c r="X26" s="6"/>
      <c r="Y26" s="66">
        <v>12</v>
      </c>
      <c r="Z26" s="50" t="str">
        <f t="shared" si="8"/>
        <v xml:space="preserve"> </v>
      </c>
      <c r="AA26" s="51" t="str">
        <f t="shared" si="9"/>
        <v xml:space="preserve"> 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45913</v>
      </c>
      <c r="B27" s="58">
        <f t="shared" si="0"/>
        <v>13</v>
      </c>
      <c r="C27" s="40">
        <f t="shared" si="1"/>
        <v>7</v>
      </c>
      <c r="D27" s="116">
        <v>45416.800000000003</v>
      </c>
      <c r="E27" s="42">
        <f t="shared" si="12"/>
        <v>459786.26</v>
      </c>
      <c r="F27" s="60">
        <v>52</v>
      </c>
      <c r="G27" s="61">
        <v>29</v>
      </c>
      <c r="H27" s="26">
        <f t="shared" si="13"/>
        <v>46278</v>
      </c>
      <c r="I27" s="58">
        <f t="shared" si="2"/>
        <v>13</v>
      </c>
      <c r="J27" s="40">
        <f t="shared" si="3"/>
        <v>1</v>
      </c>
      <c r="K27" s="59"/>
      <c r="L27" s="42" t="str">
        <f t="shared" si="14"/>
        <v/>
      </c>
      <c r="M27" s="60"/>
      <c r="N27" s="61"/>
      <c r="O27" s="5"/>
      <c r="P27" s="62" t="str">
        <f t="shared" si="4"/>
        <v/>
      </c>
      <c r="Q27" s="63" t="str">
        <f t="shared" si="5"/>
        <v xml:space="preserve"> </v>
      </c>
      <c r="R27" s="64" t="str">
        <f t="shared" si="6"/>
        <v/>
      </c>
      <c r="S27" s="65" t="str">
        <f t="shared" si="7"/>
        <v/>
      </c>
      <c r="T27" s="2"/>
      <c r="U27" s="2"/>
      <c r="V27" s="2"/>
      <c r="W27" s="5"/>
      <c r="X27" s="6"/>
      <c r="Y27" s="66">
        <v>13</v>
      </c>
      <c r="Z27" s="50" t="str">
        <f t="shared" si="8"/>
        <v xml:space="preserve"> </v>
      </c>
      <c r="AA27" s="51" t="str">
        <f t="shared" si="9"/>
        <v xml:space="preserve"> 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45914</v>
      </c>
      <c r="B28" s="58">
        <f t="shared" si="0"/>
        <v>14</v>
      </c>
      <c r="C28" s="40">
        <f t="shared" si="1"/>
        <v>1</v>
      </c>
      <c r="D28" s="116">
        <v>49439.66</v>
      </c>
      <c r="E28" s="42">
        <f t="shared" si="12"/>
        <v>509225.92000000004</v>
      </c>
      <c r="F28" s="60">
        <v>56</v>
      </c>
      <c r="G28" s="61">
        <v>36</v>
      </c>
      <c r="H28" s="26">
        <f t="shared" si="13"/>
        <v>46279</v>
      </c>
      <c r="I28" s="58">
        <f t="shared" si="2"/>
        <v>14</v>
      </c>
      <c r="J28" s="40">
        <f t="shared" si="3"/>
        <v>2</v>
      </c>
      <c r="K28" s="59"/>
      <c r="L28" s="42" t="str">
        <f t="shared" si="14"/>
        <v/>
      </c>
      <c r="M28" s="60"/>
      <c r="N28" s="61"/>
      <c r="O28" s="5"/>
      <c r="P28" s="62" t="str">
        <f t="shared" si="4"/>
        <v/>
      </c>
      <c r="Q28" s="63" t="str">
        <f t="shared" si="5"/>
        <v xml:space="preserve"> </v>
      </c>
      <c r="R28" s="64" t="str">
        <f t="shared" si="6"/>
        <v/>
      </c>
      <c r="S28" s="65" t="str">
        <f t="shared" si="7"/>
        <v/>
      </c>
      <c r="T28" s="2"/>
      <c r="U28" s="2"/>
      <c r="V28" s="2"/>
      <c r="W28" s="5"/>
      <c r="X28" s="6"/>
      <c r="Y28" s="66">
        <v>14</v>
      </c>
      <c r="Z28" s="50" t="str">
        <f t="shared" si="8"/>
        <v xml:space="preserve"> </v>
      </c>
      <c r="AA28" s="51" t="str">
        <f t="shared" si="9"/>
        <v xml:space="preserve"> 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45915</v>
      </c>
      <c r="B29" s="58">
        <f t="shared" si="0"/>
        <v>15</v>
      </c>
      <c r="C29" s="40">
        <f t="shared" si="1"/>
        <v>2</v>
      </c>
      <c r="D29" s="116">
        <v>33108.04</v>
      </c>
      <c r="E29" s="42">
        <f t="shared" si="12"/>
        <v>542333.96000000008</v>
      </c>
      <c r="F29" s="60">
        <v>36</v>
      </c>
      <c r="G29" s="61">
        <v>22</v>
      </c>
      <c r="H29" s="26">
        <f t="shared" si="13"/>
        <v>46280</v>
      </c>
      <c r="I29" s="58">
        <f t="shared" si="2"/>
        <v>15</v>
      </c>
      <c r="J29" s="40">
        <f t="shared" si="3"/>
        <v>3</v>
      </c>
      <c r="K29" s="59"/>
      <c r="L29" s="42" t="str">
        <f t="shared" si="14"/>
        <v/>
      </c>
      <c r="M29" s="60"/>
      <c r="N29" s="61"/>
      <c r="O29" s="5"/>
      <c r="P29" s="62" t="str">
        <f t="shared" si="4"/>
        <v/>
      </c>
      <c r="Q29" s="63" t="str">
        <f t="shared" si="5"/>
        <v xml:space="preserve"> </v>
      </c>
      <c r="R29" s="64" t="str">
        <f t="shared" si="6"/>
        <v/>
      </c>
      <c r="S29" s="65" t="str">
        <f t="shared" si="7"/>
        <v/>
      </c>
      <c r="T29" s="2"/>
      <c r="U29" s="2"/>
      <c r="V29" s="2"/>
      <c r="W29" s="5"/>
      <c r="X29" s="6"/>
      <c r="Y29" s="66">
        <v>15</v>
      </c>
      <c r="Z29" s="50" t="str">
        <f t="shared" si="8"/>
        <v xml:space="preserve"> </v>
      </c>
      <c r="AA29" s="51" t="str">
        <f t="shared" si="9"/>
        <v xml:space="preserve"> 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45916</v>
      </c>
      <c r="B30" s="58">
        <f t="shared" si="0"/>
        <v>16</v>
      </c>
      <c r="C30" s="40">
        <f t="shared" si="1"/>
        <v>3</v>
      </c>
      <c r="D30" s="116">
        <v>40966.14</v>
      </c>
      <c r="E30" s="42">
        <f t="shared" si="12"/>
        <v>583300.10000000009</v>
      </c>
      <c r="F30" s="60">
        <v>51</v>
      </c>
      <c r="G30" s="61">
        <v>33</v>
      </c>
      <c r="H30" s="26">
        <f t="shared" si="13"/>
        <v>46281</v>
      </c>
      <c r="I30" s="58">
        <f t="shared" si="2"/>
        <v>16</v>
      </c>
      <c r="J30" s="40">
        <f t="shared" si="3"/>
        <v>4</v>
      </c>
      <c r="K30" s="59"/>
      <c r="L30" s="42" t="str">
        <f t="shared" si="14"/>
        <v/>
      </c>
      <c r="M30" s="60"/>
      <c r="N30" s="61"/>
      <c r="O30" s="5"/>
      <c r="P30" s="62" t="str">
        <f t="shared" si="4"/>
        <v/>
      </c>
      <c r="Q30" s="63" t="str">
        <f t="shared" si="5"/>
        <v xml:space="preserve"> </v>
      </c>
      <c r="R30" s="64" t="str">
        <f t="shared" si="6"/>
        <v/>
      </c>
      <c r="S30" s="65" t="str">
        <f t="shared" si="7"/>
        <v/>
      </c>
      <c r="T30" s="2"/>
      <c r="U30" s="2"/>
      <c r="V30" s="2"/>
      <c r="W30" s="5"/>
      <c r="X30" s="6"/>
      <c r="Y30" s="66">
        <v>16</v>
      </c>
      <c r="Z30" s="50" t="str">
        <f t="shared" si="8"/>
        <v xml:space="preserve"> </v>
      </c>
      <c r="AA30" s="51" t="str">
        <f t="shared" si="9"/>
        <v xml:space="preserve"> 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45917</v>
      </c>
      <c r="B31" s="58">
        <f t="shared" si="0"/>
        <v>17</v>
      </c>
      <c r="C31" s="40">
        <f t="shared" si="1"/>
        <v>4</v>
      </c>
      <c r="D31" s="116">
        <v>19768.12</v>
      </c>
      <c r="E31" s="42">
        <f t="shared" si="12"/>
        <v>603068.22000000009</v>
      </c>
      <c r="F31" s="60">
        <v>19</v>
      </c>
      <c r="G31" s="61">
        <v>14</v>
      </c>
      <c r="H31" s="26">
        <f t="shared" si="13"/>
        <v>46282</v>
      </c>
      <c r="I31" s="58">
        <f t="shared" si="2"/>
        <v>17</v>
      </c>
      <c r="J31" s="40">
        <f t="shared" si="3"/>
        <v>5</v>
      </c>
      <c r="K31" s="59"/>
      <c r="L31" s="42" t="str">
        <f t="shared" si="14"/>
        <v/>
      </c>
      <c r="M31" s="60"/>
      <c r="N31" s="61"/>
      <c r="O31" s="5"/>
      <c r="P31" s="62" t="str">
        <f t="shared" si="4"/>
        <v/>
      </c>
      <c r="Q31" s="63" t="str">
        <f t="shared" si="5"/>
        <v xml:space="preserve"> </v>
      </c>
      <c r="R31" s="64" t="str">
        <f t="shared" si="6"/>
        <v/>
      </c>
      <c r="S31" s="65" t="str">
        <f t="shared" si="7"/>
        <v/>
      </c>
      <c r="T31" s="2"/>
      <c r="U31" s="2"/>
      <c r="V31" s="2"/>
      <c r="W31" s="5"/>
      <c r="X31" s="6"/>
      <c r="Y31" s="66">
        <v>17</v>
      </c>
      <c r="Z31" s="50" t="str">
        <f t="shared" si="8"/>
        <v xml:space="preserve"> </v>
      </c>
      <c r="AA31" s="51" t="str">
        <f t="shared" si="9"/>
        <v xml:space="preserve"> 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45918</v>
      </c>
      <c r="B32" s="58">
        <f t="shared" si="0"/>
        <v>18</v>
      </c>
      <c r="C32" s="40">
        <f t="shared" si="1"/>
        <v>5</v>
      </c>
      <c r="D32" s="116">
        <v>10942</v>
      </c>
      <c r="E32" s="42">
        <f t="shared" si="12"/>
        <v>614010.22000000009</v>
      </c>
      <c r="F32" s="60">
        <v>7</v>
      </c>
      <c r="G32" s="61">
        <v>7</v>
      </c>
      <c r="H32" s="26">
        <f t="shared" si="13"/>
        <v>46283</v>
      </c>
      <c r="I32" s="58">
        <f t="shared" si="2"/>
        <v>18</v>
      </c>
      <c r="J32" s="40">
        <f t="shared" si="3"/>
        <v>6</v>
      </c>
      <c r="K32" s="59"/>
      <c r="L32" s="42" t="str">
        <f t="shared" si="14"/>
        <v/>
      </c>
      <c r="M32" s="60"/>
      <c r="N32" s="61"/>
      <c r="O32" s="5"/>
      <c r="P32" s="62" t="str">
        <f t="shared" si="4"/>
        <v/>
      </c>
      <c r="Q32" s="63" t="str">
        <f t="shared" si="5"/>
        <v xml:space="preserve"> </v>
      </c>
      <c r="R32" s="64" t="str">
        <f t="shared" si="6"/>
        <v/>
      </c>
      <c r="S32" s="65" t="str">
        <f t="shared" si="7"/>
        <v/>
      </c>
      <c r="T32" s="2"/>
      <c r="U32" s="2"/>
      <c r="V32" s="2"/>
      <c r="W32" s="5"/>
      <c r="X32" s="6"/>
      <c r="Y32" s="66">
        <v>18</v>
      </c>
      <c r="Z32" s="50" t="str">
        <f t="shared" si="8"/>
        <v xml:space="preserve"> </v>
      </c>
      <c r="AA32" s="51" t="str">
        <f t="shared" si="9"/>
        <v xml:space="preserve"> 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45919</v>
      </c>
      <c r="B33" s="58">
        <f t="shared" si="0"/>
        <v>19</v>
      </c>
      <c r="C33" s="40">
        <f t="shared" si="1"/>
        <v>6</v>
      </c>
      <c r="D33" s="116">
        <v>31837.42</v>
      </c>
      <c r="E33" s="42">
        <f t="shared" si="12"/>
        <v>645847.64000000013</v>
      </c>
      <c r="F33" s="60">
        <v>30</v>
      </c>
      <c r="G33" s="61">
        <v>20</v>
      </c>
      <c r="H33" s="26">
        <f t="shared" si="13"/>
        <v>46284</v>
      </c>
      <c r="I33" s="58">
        <f t="shared" si="2"/>
        <v>19</v>
      </c>
      <c r="J33" s="40">
        <f t="shared" si="3"/>
        <v>7</v>
      </c>
      <c r="K33" s="59"/>
      <c r="L33" s="42" t="str">
        <f t="shared" si="14"/>
        <v/>
      </c>
      <c r="M33" s="60"/>
      <c r="N33" s="61"/>
      <c r="O33" s="5"/>
      <c r="P33" s="62" t="str">
        <f t="shared" si="4"/>
        <v/>
      </c>
      <c r="Q33" s="63" t="str">
        <f t="shared" si="5"/>
        <v xml:space="preserve"> </v>
      </c>
      <c r="R33" s="64" t="str">
        <f t="shared" si="6"/>
        <v/>
      </c>
      <c r="S33" s="65" t="str">
        <f t="shared" si="7"/>
        <v/>
      </c>
      <c r="T33" s="2"/>
      <c r="U33" s="2"/>
      <c r="V33" s="2"/>
      <c r="W33" s="5"/>
      <c r="X33" s="6"/>
      <c r="Y33" s="66">
        <v>19</v>
      </c>
      <c r="Z33" s="50" t="str">
        <f t="shared" si="8"/>
        <v xml:space="preserve"> </v>
      </c>
      <c r="AA33" s="51" t="str">
        <f t="shared" si="9"/>
        <v xml:space="preserve"> 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45920</v>
      </c>
      <c r="B34" s="58">
        <f t="shared" si="0"/>
        <v>20</v>
      </c>
      <c r="C34" s="40">
        <f t="shared" si="1"/>
        <v>7</v>
      </c>
      <c r="D34" s="116">
        <v>62751.77</v>
      </c>
      <c r="E34" s="42">
        <f t="shared" si="12"/>
        <v>708599.41000000015</v>
      </c>
      <c r="F34" s="60">
        <v>57</v>
      </c>
      <c r="G34" s="61">
        <v>23</v>
      </c>
      <c r="H34" s="26">
        <f t="shared" si="13"/>
        <v>46285</v>
      </c>
      <c r="I34" s="58">
        <f t="shared" si="2"/>
        <v>20</v>
      </c>
      <c r="J34" s="40">
        <f t="shared" si="3"/>
        <v>1</v>
      </c>
      <c r="K34" s="59"/>
      <c r="L34" s="42" t="str">
        <f t="shared" si="14"/>
        <v/>
      </c>
      <c r="M34" s="60"/>
      <c r="N34" s="61"/>
      <c r="O34" s="5"/>
      <c r="P34" s="62" t="str">
        <f t="shared" si="4"/>
        <v/>
      </c>
      <c r="Q34" s="63" t="str">
        <f t="shared" si="5"/>
        <v xml:space="preserve"> </v>
      </c>
      <c r="R34" s="64" t="str">
        <f t="shared" si="6"/>
        <v/>
      </c>
      <c r="S34" s="65" t="str">
        <f t="shared" si="7"/>
        <v/>
      </c>
      <c r="T34" s="2"/>
      <c r="U34" s="2"/>
      <c r="V34" s="2"/>
      <c r="W34" s="5"/>
      <c r="X34" s="6"/>
      <c r="Y34" s="66">
        <v>20</v>
      </c>
      <c r="Z34" s="50" t="str">
        <f t="shared" si="8"/>
        <v xml:space="preserve"> </v>
      </c>
      <c r="AA34" s="51" t="str">
        <f t="shared" si="9"/>
        <v xml:space="preserve"> 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45921</v>
      </c>
      <c r="B35" s="58">
        <f t="shared" si="0"/>
        <v>21</v>
      </c>
      <c r="C35" s="40">
        <f t="shared" si="1"/>
        <v>1</v>
      </c>
      <c r="D35" s="116">
        <v>70111.240000000005</v>
      </c>
      <c r="E35" s="42">
        <f t="shared" si="12"/>
        <v>778710.65000000014</v>
      </c>
      <c r="F35" s="60">
        <v>63</v>
      </c>
      <c r="G35" s="61">
        <v>36</v>
      </c>
      <c r="H35" s="26">
        <f t="shared" si="13"/>
        <v>46286</v>
      </c>
      <c r="I35" s="58">
        <f t="shared" si="2"/>
        <v>21</v>
      </c>
      <c r="J35" s="40">
        <f t="shared" si="3"/>
        <v>2</v>
      </c>
      <c r="K35" s="59"/>
      <c r="L35" s="42" t="str">
        <f t="shared" si="14"/>
        <v/>
      </c>
      <c r="M35" s="60"/>
      <c r="N35" s="61"/>
      <c r="O35" s="5"/>
      <c r="P35" s="62" t="str">
        <f t="shared" si="4"/>
        <v/>
      </c>
      <c r="Q35" s="63" t="str">
        <f t="shared" si="5"/>
        <v xml:space="preserve"> </v>
      </c>
      <c r="R35" s="64" t="str">
        <f t="shared" si="6"/>
        <v/>
      </c>
      <c r="S35" s="65" t="str">
        <f t="shared" si="7"/>
        <v/>
      </c>
      <c r="T35" s="2"/>
      <c r="U35" s="2"/>
      <c r="V35" s="2"/>
      <c r="W35" s="5"/>
      <c r="X35" s="6"/>
      <c r="Y35" s="66">
        <v>21</v>
      </c>
      <c r="Z35" s="50" t="str">
        <f t="shared" si="8"/>
        <v xml:space="preserve"> </v>
      </c>
      <c r="AA35" s="51" t="str">
        <f t="shared" si="9"/>
        <v xml:space="preserve"> 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45922</v>
      </c>
      <c r="B36" s="58">
        <f t="shared" si="0"/>
        <v>22</v>
      </c>
      <c r="C36" s="40">
        <f t="shared" si="1"/>
        <v>2</v>
      </c>
      <c r="D36" s="116">
        <v>26231.82</v>
      </c>
      <c r="E36" s="42">
        <f t="shared" si="12"/>
        <v>804942.47000000009</v>
      </c>
      <c r="F36" s="60">
        <v>22</v>
      </c>
      <c r="G36" s="61">
        <v>16</v>
      </c>
      <c r="H36" s="26">
        <f t="shared" si="13"/>
        <v>46287</v>
      </c>
      <c r="I36" s="58">
        <f t="shared" si="2"/>
        <v>22</v>
      </c>
      <c r="J36" s="40">
        <f t="shared" si="3"/>
        <v>3</v>
      </c>
      <c r="K36" s="59"/>
      <c r="L36" s="42" t="str">
        <f t="shared" si="14"/>
        <v/>
      </c>
      <c r="M36" s="60"/>
      <c r="N36" s="61"/>
      <c r="O36" s="5"/>
      <c r="P36" s="62" t="str">
        <f t="shared" si="4"/>
        <v/>
      </c>
      <c r="Q36" s="63" t="str">
        <f t="shared" si="5"/>
        <v xml:space="preserve"> </v>
      </c>
      <c r="R36" s="64" t="str">
        <f t="shared" si="6"/>
        <v/>
      </c>
      <c r="S36" s="65" t="str">
        <f t="shared" si="7"/>
        <v/>
      </c>
      <c r="T36" s="2"/>
      <c r="U36" s="2"/>
      <c r="V36" s="2"/>
      <c r="W36" s="5"/>
      <c r="X36" s="6"/>
      <c r="Y36" s="66">
        <v>22</v>
      </c>
      <c r="Z36" s="50" t="str">
        <f t="shared" si="8"/>
        <v xml:space="preserve"> </v>
      </c>
      <c r="AA36" s="51" t="str">
        <f t="shared" si="9"/>
        <v xml:space="preserve"> 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45923</v>
      </c>
      <c r="B37" s="58">
        <f t="shared" si="0"/>
        <v>23</v>
      </c>
      <c r="C37" s="40">
        <f t="shared" si="1"/>
        <v>3</v>
      </c>
      <c r="D37" s="116">
        <v>18644.86</v>
      </c>
      <c r="E37" s="42">
        <f t="shared" si="12"/>
        <v>823587.33000000007</v>
      </c>
      <c r="F37" s="60">
        <v>22</v>
      </c>
      <c r="G37" s="61">
        <v>15</v>
      </c>
      <c r="H37" s="26">
        <f t="shared" si="13"/>
        <v>46288</v>
      </c>
      <c r="I37" s="58">
        <f t="shared" si="2"/>
        <v>23</v>
      </c>
      <c r="J37" s="40">
        <f t="shared" si="3"/>
        <v>4</v>
      </c>
      <c r="K37" s="59"/>
      <c r="L37" s="42" t="str">
        <f t="shared" si="14"/>
        <v/>
      </c>
      <c r="M37" s="60"/>
      <c r="N37" s="61"/>
      <c r="O37" s="5"/>
      <c r="P37" s="62" t="str">
        <f t="shared" si="4"/>
        <v/>
      </c>
      <c r="Q37" s="63" t="str">
        <f t="shared" si="5"/>
        <v xml:space="preserve"> </v>
      </c>
      <c r="R37" s="64" t="str">
        <f t="shared" si="6"/>
        <v/>
      </c>
      <c r="S37" s="65" t="str">
        <f t="shared" si="7"/>
        <v/>
      </c>
      <c r="T37" s="2"/>
      <c r="U37" s="2"/>
      <c r="V37" s="2"/>
      <c r="W37" s="5"/>
      <c r="X37" s="6"/>
      <c r="Y37" s="66">
        <v>23</v>
      </c>
      <c r="Z37" s="50" t="str">
        <f t="shared" si="8"/>
        <v xml:space="preserve"> </v>
      </c>
      <c r="AA37" s="51" t="str">
        <f t="shared" si="9"/>
        <v xml:space="preserve"> 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45924</v>
      </c>
      <c r="B38" s="58">
        <f t="shared" si="0"/>
        <v>24</v>
      </c>
      <c r="C38" s="40">
        <f t="shared" si="1"/>
        <v>4</v>
      </c>
      <c r="D38" s="116">
        <v>28182.23</v>
      </c>
      <c r="E38" s="42">
        <f t="shared" si="12"/>
        <v>851769.56</v>
      </c>
      <c r="F38" s="60">
        <v>34</v>
      </c>
      <c r="G38" s="61">
        <v>20</v>
      </c>
      <c r="H38" s="26">
        <f t="shared" si="13"/>
        <v>46289</v>
      </c>
      <c r="I38" s="58">
        <f t="shared" si="2"/>
        <v>24</v>
      </c>
      <c r="J38" s="40">
        <f t="shared" si="3"/>
        <v>5</v>
      </c>
      <c r="K38" s="59"/>
      <c r="L38" s="42" t="str">
        <f t="shared" si="14"/>
        <v/>
      </c>
      <c r="M38" s="60"/>
      <c r="N38" s="61"/>
      <c r="O38" s="5"/>
      <c r="P38" s="62" t="str">
        <f t="shared" si="4"/>
        <v/>
      </c>
      <c r="Q38" s="63" t="str">
        <f t="shared" si="5"/>
        <v xml:space="preserve"> </v>
      </c>
      <c r="R38" s="64" t="str">
        <f t="shared" si="6"/>
        <v/>
      </c>
      <c r="S38" s="65" t="str">
        <f t="shared" si="7"/>
        <v/>
      </c>
      <c r="T38" s="2"/>
      <c r="U38" s="2"/>
      <c r="V38" s="2"/>
      <c r="W38" s="5"/>
      <c r="X38" s="6"/>
      <c r="Y38" s="66">
        <v>24</v>
      </c>
      <c r="Z38" s="50" t="str">
        <f t="shared" si="8"/>
        <v xml:space="preserve"> </v>
      </c>
      <c r="AA38" s="51" t="str">
        <f t="shared" si="9"/>
        <v xml:space="preserve"> 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45925</v>
      </c>
      <c r="B39" s="58">
        <f t="shared" si="0"/>
        <v>25</v>
      </c>
      <c r="C39" s="40">
        <f t="shared" si="1"/>
        <v>5</v>
      </c>
      <c r="D39" s="116">
        <v>19378.810000000001</v>
      </c>
      <c r="E39" s="42">
        <f t="shared" si="12"/>
        <v>871148.37000000011</v>
      </c>
      <c r="F39" s="60">
        <v>21</v>
      </c>
      <c r="G39" s="61">
        <v>14</v>
      </c>
      <c r="H39" s="26">
        <f t="shared" si="13"/>
        <v>46290</v>
      </c>
      <c r="I39" s="58">
        <f t="shared" si="2"/>
        <v>25</v>
      </c>
      <c r="J39" s="40">
        <f t="shared" si="3"/>
        <v>6</v>
      </c>
      <c r="K39" s="59"/>
      <c r="L39" s="42" t="str">
        <f t="shared" si="14"/>
        <v/>
      </c>
      <c r="M39" s="60"/>
      <c r="N39" s="61"/>
      <c r="O39" s="5"/>
      <c r="P39" s="62" t="str">
        <f t="shared" si="4"/>
        <v/>
      </c>
      <c r="Q39" s="63" t="str">
        <f t="shared" si="5"/>
        <v xml:space="preserve"> </v>
      </c>
      <c r="R39" s="64" t="str">
        <f t="shared" si="6"/>
        <v/>
      </c>
      <c r="S39" s="65" t="str">
        <f t="shared" si="7"/>
        <v/>
      </c>
      <c r="T39" s="2"/>
      <c r="U39" s="2"/>
      <c r="V39" s="2"/>
      <c r="W39" s="5"/>
      <c r="X39" s="6"/>
      <c r="Y39" s="66">
        <v>25</v>
      </c>
      <c r="Z39" s="50" t="str">
        <f t="shared" si="8"/>
        <v xml:space="preserve"> </v>
      </c>
      <c r="AA39" s="51" t="str">
        <f t="shared" si="9"/>
        <v xml:space="preserve"> 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45926</v>
      </c>
      <c r="B40" s="58">
        <f t="shared" si="0"/>
        <v>26</v>
      </c>
      <c r="C40" s="40">
        <f t="shared" si="1"/>
        <v>6</v>
      </c>
      <c r="D40" s="116">
        <v>10637.93</v>
      </c>
      <c r="E40" s="42">
        <f t="shared" si="12"/>
        <v>881786.30000000016</v>
      </c>
      <c r="F40" s="60">
        <v>7</v>
      </c>
      <c r="G40" s="61">
        <v>7</v>
      </c>
      <c r="H40" s="26">
        <f t="shared" si="13"/>
        <v>46291</v>
      </c>
      <c r="I40" s="58">
        <f t="shared" si="2"/>
        <v>26</v>
      </c>
      <c r="J40" s="40">
        <f t="shared" si="3"/>
        <v>7</v>
      </c>
      <c r="K40" s="59"/>
      <c r="L40" s="42" t="str">
        <f t="shared" si="14"/>
        <v/>
      </c>
      <c r="M40" s="60"/>
      <c r="N40" s="61"/>
      <c r="O40" s="5"/>
      <c r="P40" s="62" t="str">
        <f t="shared" si="4"/>
        <v/>
      </c>
      <c r="Q40" s="63" t="str">
        <f t="shared" si="5"/>
        <v xml:space="preserve"> </v>
      </c>
      <c r="R40" s="64" t="str">
        <f t="shared" si="6"/>
        <v/>
      </c>
      <c r="S40" s="65" t="str">
        <f t="shared" si="7"/>
        <v/>
      </c>
      <c r="T40" s="2"/>
      <c r="U40" s="2"/>
      <c r="V40" s="2"/>
      <c r="W40" s="5"/>
      <c r="X40" s="6"/>
      <c r="Y40" s="66">
        <v>26</v>
      </c>
      <c r="Z40" s="50" t="str">
        <f t="shared" si="8"/>
        <v xml:space="preserve"> </v>
      </c>
      <c r="AA40" s="51" t="str">
        <f t="shared" si="9"/>
        <v xml:space="preserve"> 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45927</v>
      </c>
      <c r="B41" s="58">
        <f t="shared" si="0"/>
        <v>27</v>
      </c>
      <c r="C41" s="40">
        <f t="shared" si="1"/>
        <v>7</v>
      </c>
      <c r="D41" s="116">
        <v>63298.95</v>
      </c>
      <c r="E41" s="42">
        <f t="shared" si="12"/>
        <v>945085.25000000012</v>
      </c>
      <c r="F41" s="60">
        <v>53</v>
      </c>
      <c r="G41" s="61">
        <v>37</v>
      </c>
      <c r="H41" s="26">
        <f t="shared" si="13"/>
        <v>46292</v>
      </c>
      <c r="I41" s="58">
        <f t="shared" si="2"/>
        <v>27</v>
      </c>
      <c r="J41" s="40">
        <f t="shared" si="3"/>
        <v>1</v>
      </c>
      <c r="K41" s="59"/>
      <c r="L41" s="42" t="str">
        <f t="shared" si="14"/>
        <v/>
      </c>
      <c r="M41" s="60"/>
      <c r="N41" s="61"/>
      <c r="O41" s="5"/>
      <c r="P41" s="62" t="str">
        <f t="shared" si="4"/>
        <v/>
      </c>
      <c r="Q41" s="63" t="str">
        <f t="shared" si="5"/>
        <v xml:space="preserve"> </v>
      </c>
      <c r="R41" s="64" t="str">
        <f t="shared" si="6"/>
        <v/>
      </c>
      <c r="S41" s="65" t="str">
        <f t="shared" si="7"/>
        <v/>
      </c>
      <c r="T41" s="2"/>
      <c r="U41" s="2"/>
      <c r="V41" s="2"/>
      <c r="W41" s="5"/>
      <c r="X41" s="6"/>
      <c r="Y41" s="66">
        <v>27</v>
      </c>
      <c r="Z41" s="50" t="str">
        <f t="shared" si="8"/>
        <v xml:space="preserve"> </v>
      </c>
      <c r="AA41" s="51" t="str">
        <f t="shared" si="9"/>
        <v xml:space="preserve"> 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45928</v>
      </c>
      <c r="B42" s="58">
        <f t="shared" si="0"/>
        <v>28</v>
      </c>
      <c r="C42" s="40">
        <f t="shared" si="1"/>
        <v>1</v>
      </c>
      <c r="D42" s="116">
        <v>49989.7</v>
      </c>
      <c r="E42" s="42">
        <f t="shared" si="12"/>
        <v>995074.95000000007</v>
      </c>
      <c r="F42" s="60">
        <v>52</v>
      </c>
      <c r="G42" s="61">
        <v>30</v>
      </c>
      <c r="H42" s="26">
        <f t="shared" si="13"/>
        <v>46293</v>
      </c>
      <c r="I42" s="58">
        <f t="shared" si="2"/>
        <v>28</v>
      </c>
      <c r="J42" s="40">
        <f t="shared" si="3"/>
        <v>2</v>
      </c>
      <c r="K42" s="59"/>
      <c r="L42" s="42" t="str">
        <f t="shared" si="14"/>
        <v/>
      </c>
      <c r="M42" s="60"/>
      <c r="N42" s="61"/>
      <c r="O42" s="5"/>
      <c r="P42" s="62" t="str">
        <f t="shared" si="4"/>
        <v/>
      </c>
      <c r="Q42" s="63" t="str">
        <f t="shared" si="5"/>
        <v xml:space="preserve"> </v>
      </c>
      <c r="R42" s="64" t="str">
        <f t="shared" si="6"/>
        <v/>
      </c>
      <c r="S42" s="65" t="str">
        <f t="shared" si="7"/>
        <v/>
      </c>
      <c r="T42" s="2"/>
      <c r="U42" s="2"/>
      <c r="V42" s="2"/>
      <c r="W42" s="5"/>
      <c r="X42" s="6"/>
      <c r="Y42" s="66">
        <v>28</v>
      </c>
      <c r="Z42" s="50" t="str">
        <f t="shared" si="8"/>
        <v xml:space="preserve"> </v>
      </c>
      <c r="AA42" s="51" t="str">
        <f t="shared" si="9"/>
        <v xml:space="preserve"> 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45929</v>
      </c>
      <c r="B43" s="58">
        <f t="shared" si="0"/>
        <v>29</v>
      </c>
      <c r="C43" s="40">
        <f t="shared" si="1"/>
        <v>2</v>
      </c>
      <c r="D43" s="116">
        <v>20965.66</v>
      </c>
      <c r="E43" s="42">
        <f t="shared" si="12"/>
        <v>1016040.6100000001</v>
      </c>
      <c r="F43" s="60">
        <v>20</v>
      </c>
      <c r="G43" s="61">
        <v>15</v>
      </c>
      <c r="H43" s="26">
        <f t="shared" si="13"/>
        <v>46294</v>
      </c>
      <c r="I43" s="58">
        <f t="shared" si="2"/>
        <v>29</v>
      </c>
      <c r="J43" s="40">
        <f t="shared" si="3"/>
        <v>3</v>
      </c>
      <c r="K43" s="59"/>
      <c r="L43" s="42" t="str">
        <f t="shared" si="14"/>
        <v/>
      </c>
      <c r="M43" s="60"/>
      <c r="N43" s="61"/>
      <c r="O43" s="5"/>
      <c r="P43" s="62" t="str">
        <f t="shared" si="4"/>
        <v/>
      </c>
      <c r="Q43" s="63" t="str">
        <f t="shared" si="5"/>
        <v xml:space="preserve"> </v>
      </c>
      <c r="R43" s="64" t="str">
        <f t="shared" si="6"/>
        <v/>
      </c>
      <c r="S43" s="65" t="str">
        <f t="shared" si="7"/>
        <v/>
      </c>
      <c r="T43" s="2"/>
      <c r="U43" s="2"/>
      <c r="V43" s="2"/>
      <c r="W43" s="5"/>
      <c r="X43" s="6"/>
      <c r="Y43" s="66">
        <v>29</v>
      </c>
      <c r="Z43" s="50" t="str">
        <f t="shared" si="8"/>
        <v xml:space="preserve"> </v>
      </c>
      <c r="AA43" s="51" t="str">
        <f t="shared" si="9"/>
        <v xml:space="preserve"> 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45930</v>
      </c>
      <c r="B44" s="58">
        <f t="shared" si="0"/>
        <v>30</v>
      </c>
      <c r="C44" s="40">
        <f t="shared" si="1"/>
        <v>3</v>
      </c>
      <c r="D44" s="116">
        <v>23978.1</v>
      </c>
      <c r="E44" s="42">
        <f t="shared" si="12"/>
        <v>1040018.7100000001</v>
      </c>
      <c r="F44" s="60">
        <v>32</v>
      </c>
      <c r="G44" s="61">
        <v>17</v>
      </c>
      <c r="H44" s="26">
        <f t="shared" si="13"/>
        <v>46295</v>
      </c>
      <c r="I44" s="58">
        <f t="shared" si="2"/>
        <v>30</v>
      </c>
      <c r="J44" s="40">
        <f t="shared" si="3"/>
        <v>4</v>
      </c>
      <c r="K44" s="59"/>
      <c r="L44" s="42" t="str">
        <f t="shared" si="14"/>
        <v/>
      </c>
      <c r="M44" s="60"/>
      <c r="N44" s="61"/>
      <c r="O44" s="5"/>
      <c r="P44" s="62" t="str">
        <f t="shared" si="4"/>
        <v/>
      </c>
      <c r="Q44" s="63" t="str">
        <f t="shared" si="5"/>
        <v xml:space="preserve"> </v>
      </c>
      <c r="R44" s="64" t="str">
        <f t="shared" si="6"/>
        <v/>
      </c>
      <c r="S44" s="65" t="str">
        <f t="shared" si="7"/>
        <v/>
      </c>
      <c r="T44" s="2"/>
      <c r="U44" s="2"/>
      <c r="V44" s="2"/>
      <c r="W44" s="5"/>
      <c r="X44" s="6"/>
      <c r="Y44" s="66">
        <v>30</v>
      </c>
      <c r="Z44" s="50" t="str">
        <f t="shared" si="8"/>
        <v xml:space="preserve"> </v>
      </c>
      <c r="AA44" s="51" t="str">
        <f t="shared" si="9"/>
        <v xml:space="preserve"> 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45931</v>
      </c>
      <c r="B45" s="74">
        <f t="shared" si="0"/>
        <v>1</v>
      </c>
      <c r="C45" s="75">
        <f t="shared" si="1"/>
        <v>4</v>
      </c>
      <c r="D45" s="76"/>
      <c r="E45" s="77" t="str">
        <f t="shared" si="12"/>
        <v/>
      </c>
      <c r="F45" s="78"/>
      <c r="G45" s="79"/>
      <c r="H45" s="26">
        <f t="shared" si="13"/>
        <v>46296</v>
      </c>
      <c r="I45" s="74">
        <f t="shared" si="2"/>
        <v>1</v>
      </c>
      <c r="J45" s="40">
        <f t="shared" si="3"/>
        <v>5</v>
      </c>
      <c r="K45" s="76"/>
      <c r="L45" s="77" t="str">
        <f t="shared" si="14"/>
        <v/>
      </c>
      <c r="M45" s="78"/>
      <c r="N45" s="79"/>
      <c r="O45" s="5"/>
      <c r="P45" s="80" t="str">
        <f t="shared" si="4"/>
        <v/>
      </c>
      <c r="Q45" s="81" t="str">
        <f t="shared" si="5"/>
        <v xml:space="preserve"> </v>
      </c>
      <c r="R45" s="82" t="str">
        <f t="shared" si="6"/>
        <v/>
      </c>
      <c r="S45" s="83" t="str">
        <f t="shared" si="7"/>
        <v/>
      </c>
      <c r="T45" s="2"/>
      <c r="U45" s="2"/>
      <c r="V45" s="2"/>
      <c r="W45" s="5"/>
      <c r="X45" s="6"/>
      <c r="Y45" s="84">
        <v>31</v>
      </c>
      <c r="Z45" s="50" t="str">
        <f t="shared" si="8"/>
        <v xml:space="preserve"> </v>
      </c>
      <c r="AA45" s="51" t="str">
        <f t="shared" si="9"/>
        <v xml:space="preserve"> 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1087</v>
      </c>
      <c r="G46" s="89">
        <f t="shared" si="45"/>
        <v>680</v>
      </c>
      <c r="H46" s="2"/>
      <c r="I46" s="2"/>
      <c r="J46" s="2"/>
      <c r="K46" s="2" t="s">
        <v>57</v>
      </c>
      <c r="L46" s="2"/>
      <c r="M46" s="89">
        <f t="shared" ref="M46:N46" si="46">SUM(M15:M45)</f>
        <v>73</v>
      </c>
      <c r="N46" s="89">
        <f t="shared" si="46"/>
        <v>83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1073.077108433735</v>
      </c>
      <c r="AA46" s="92">
        <f>IFERROR(M46/N46,0)</f>
        <v>0.87951807228915657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1040018.7100000001</v>
      </c>
      <c r="F47" s="97"/>
      <c r="G47" s="97"/>
      <c r="H47" s="98"/>
      <c r="I47" s="129" t="s">
        <v>40</v>
      </c>
      <c r="J47" s="130"/>
      <c r="K47" s="96">
        <f>SUM(K15:K45)</f>
        <v>89065.400000000009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1206421.7036000001</v>
      </c>
      <c r="F48" s="97"/>
      <c r="G48" s="97"/>
      <c r="H48" s="104"/>
      <c r="I48" s="129" t="s">
        <v>43</v>
      </c>
      <c r="J48" s="130"/>
      <c r="K48" s="103">
        <f>K47*1.16</f>
        <v>103315.864</v>
      </c>
      <c r="L48" s="105" t="s">
        <v>44</v>
      </c>
      <c r="M48" s="106"/>
      <c r="N48" s="106"/>
      <c r="O48" s="106"/>
      <c r="P48" s="106"/>
      <c r="Q48" s="106"/>
      <c r="R48" s="107">
        <f>K47-E47</f>
        <v>-950953.31</v>
      </c>
      <c r="S48" s="108">
        <f>IFERROR(+K47/E47-1,0)</f>
        <v>-0.9143617329730539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64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-89065.400000000009</v>
      </c>
      <c r="BN49" s="113">
        <f t="shared" ref="BN49:BO49" si="48">+BN46-M46</f>
        <v>-73</v>
      </c>
      <c r="BO49" s="114">
        <f t="shared" si="48"/>
        <v>-83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23" priority="1" operator="lessThan">
      <formula>0</formula>
    </cfRule>
  </conditionalFormatting>
  <conditionalFormatting sqref="E47:G48 K47:K48">
    <cfRule type="cellIs" dxfId="22" priority="2" operator="lessThan">
      <formula>0</formula>
    </cfRule>
  </conditionalFormatting>
  <conditionalFormatting sqref="K15:L45">
    <cfRule type="cellIs" dxfId="21" priority="3" operator="lessThan">
      <formula>0</formula>
    </cfRule>
  </conditionalFormatting>
  <conditionalFormatting sqref="P15:S45">
    <cfRule type="cellIs" dxfId="20" priority="4" operator="lessThan">
      <formula>0</formula>
    </cfRule>
  </conditionalFormatting>
  <conditionalFormatting sqref="R48:S48">
    <cfRule type="cellIs" dxfId="19" priority="5" operator="lessThan">
      <formula>0</formula>
    </cfRule>
  </conditionalFormatting>
  <conditionalFormatting sqref="V8">
    <cfRule type="expression" dxfId="18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8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8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8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800-000003000000}">
          <x14:formula1>
            <xm:f>DTA!$I$4:$I$18</xm:f>
          </x14:formula1>
          <xm:sqref>D8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2024</v>
      </c>
      <c r="D1" s="3">
        <f>VLOOKUP(D3,DTA!$B$3:$C$15,2,FALSE)</f>
        <v>10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2024</v>
      </c>
      <c r="D3" s="11" t="s">
        <v>61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2025</v>
      </c>
      <c r="R8" s="11" t="s">
        <v>61</v>
      </c>
      <c r="S8" s="11">
        <v>1</v>
      </c>
      <c r="T8" s="2"/>
      <c r="U8" s="138"/>
      <c r="V8" s="16">
        <v>1494877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2025</v>
      </c>
      <c r="R10" s="18">
        <f>VLOOKUP(R8,DTA!$B$3:$C$15,2,FALSE)</f>
        <v>10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10</v>
      </c>
      <c r="C13" s="147"/>
      <c r="D13" s="147"/>
      <c r="E13" s="147"/>
      <c r="F13" s="147"/>
      <c r="G13" s="148"/>
      <c r="H13" s="5"/>
      <c r="I13" s="149" t="s">
        <v>11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0.71507795624656734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45566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45931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45566</v>
      </c>
      <c r="B15" s="39">
        <f t="shared" ref="B15:B45" si="0">+DAY(A15)</f>
        <v>1</v>
      </c>
      <c r="C15" s="40">
        <f t="shared" ref="C15:C45" si="1">+WEEKDAY(A15)</f>
        <v>3</v>
      </c>
      <c r="D15" s="117">
        <v>79808.95</v>
      </c>
      <c r="E15" s="42">
        <f>D15</f>
        <v>79808.95</v>
      </c>
      <c r="F15" s="43">
        <v>73</v>
      </c>
      <c r="G15" s="44">
        <v>44</v>
      </c>
      <c r="H15" s="26">
        <f>H14</f>
        <v>45931</v>
      </c>
      <c r="I15" s="39">
        <f t="shared" ref="I15:I45" si="2">+DAY(H15)</f>
        <v>1</v>
      </c>
      <c r="J15" s="40">
        <f t="shared" ref="J15:J45" si="3">+WEEKDAY(H15)</f>
        <v>4</v>
      </c>
      <c r="K15" s="41">
        <v>17845.71</v>
      </c>
      <c r="L15" s="42">
        <f>K15</f>
        <v>17845.71</v>
      </c>
      <c r="M15" s="43">
        <v>8</v>
      </c>
      <c r="N15" s="44">
        <v>19</v>
      </c>
      <c r="O15" s="5"/>
      <c r="P15" s="45">
        <f t="shared" ref="P15:P45" si="4">IF(NOT(ISBLANK(K15)),SUM(K15-D15),"")</f>
        <v>-61963.24</v>
      </c>
      <c r="Q15" s="46">
        <f t="shared" ref="Q15:Q45" si="5">IF(NOT(ISBLANK(K15)),IFERROR(((K15/D15)-1)," ")," ")</f>
        <v>-0.77639462741960641</v>
      </c>
      <c r="R15" s="47">
        <f t="shared" ref="R15:R45" si="6">IF(NOT(ISBLANK(K15)),SUM(L15-E15),"")</f>
        <v>-61963.24</v>
      </c>
      <c r="S15" s="48">
        <f t="shared" ref="S15:S45" si="7">IFERROR(((L15/E15)-1),"")</f>
        <v>-0.77639462741960641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2230.7137499999999</v>
      </c>
      <c r="AA15" s="51">
        <f t="shared" ref="AA15:AA45" si="9">IFERROR((L15/N15)," ")</f>
        <v>939.24789473684211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45567</v>
      </c>
      <c r="B16" s="58">
        <f t="shared" si="0"/>
        <v>2</v>
      </c>
      <c r="C16" s="40">
        <f t="shared" si="1"/>
        <v>4</v>
      </c>
      <c r="D16" s="73">
        <v>36298.620000000003</v>
      </c>
      <c r="E16" s="42">
        <f t="shared" ref="E16:E45" si="12">IF(NOT(ISBLANK(D16)),SUM(E15+D16),"")</f>
        <v>116107.57</v>
      </c>
      <c r="F16" s="60">
        <v>28</v>
      </c>
      <c r="G16" s="61">
        <v>18</v>
      </c>
      <c r="H16" s="26">
        <f t="shared" ref="H16:H45" si="13">H15+1</f>
        <v>45932</v>
      </c>
      <c r="I16" s="58">
        <f t="shared" si="2"/>
        <v>2</v>
      </c>
      <c r="J16" s="40">
        <f t="shared" si="3"/>
        <v>5</v>
      </c>
      <c r="K16" s="59">
        <v>16498.2</v>
      </c>
      <c r="L16" s="42">
        <f t="shared" ref="L16:L45" si="14">IF(NOT(ISBLANK(K16)),SUM(L15+K16),"")</f>
        <v>34343.910000000003</v>
      </c>
      <c r="M16" s="60">
        <v>12</v>
      </c>
      <c r="N16" s="61">
        <v>12</v>
      </c>
      <c r="O16" s="5"/>
      <c r="P16" s="62">
        <f t="shared" si="4"/>
        <v>-19800.420000000002</v>
      </c>
      <c r="Q16" s="63">
        <f t="shared" si="5"/>
        <v>-0.54548685321921331</v>
      </c>
      <c r="R16" s="64">
        <f t="shared" si="6"/>
        <v>-81763.66</v>
      </c>
      <c r="S16" s="65">
        <f t="shared" si="7"/>
        <v>-0.7042061081805433</v>
      </c>
      <c r="T16" s="2"/>
      <c r="U16" s="2"/>
      <c r="V16" s="2"/>
      <c r="W16" s="5"/>
      <c r="X16" s="6"/>
      <c r="Y16" s="66">
        <v>2</v>
      </c>
      <c r="Z16" s="50">
        <f t="shared" si="8"/>
        <v>2861.9925000000003</v>
      </c>
      <c r="AA16" s="51">
        <f t="shared" si="9"/>
        <v>2861.9925000000003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45568</v>
      </c>
      <c r="B17" s="58">
        <f t="shared" si="0"/>
        <v>3</v>
      </c>
      <c r="C17" s="40">
        <f t="shared" si="1"/>
        <v>5</v>
      </c>
      <c r="D17" s="73">
        <v>32106.91</v>
      </c>
      <c r="E17" s="42">
        <f t="shared" si="12"/>
        <v>148214.48000000001</v>
      </c>
      <c r="F17" s="60">
        <v>36</v>
      </c>
      <c r="G17" s="61">
        <v>22</v>
      </c>
      <c r="H17" s="26">
        <f t="shared" si="13"/>
        <v>45933</v>
      </c>
      <c r="I17" s="58">
        <f t="shared" si="2"/>
        <v>3</v>
      </c>
      <c r="J17" s="40">
        <f t="shared" si="3"/>
        <v>6</v>
      </c>
      <c r="K17" s="59">
        <v>32011.25</v>
      </c>
      <c r="L17" s="42">
        <f t="shared" si="14"/>
        <v>66355.16</v>
      </c>
      <c r="M17" s="60">
        <v>37</v>
      </c>
      <c r="N17" s="61">
        <v>21</v>
      </c>
      <c r="O17" s="5"/>
      <c r="P17" s="62">
        <f t="shared" si="4"/>
        <v>-95.659999999999854</v>
      </c>
      <c r="Q17" s="63">
        <f t="shared" si="5"/>
        <v>-2.9794209408504635E-3</v>
      </c>
      <c r="R17" s="64">
        <f t="shared" si="6"/>
        <v>-81859.320000000007</v>
      </c>
      <c r="S17" s="65">
        <f t="shared" si="7"/>
        <v>-0.55230312180024521</v>
      </c>
      <c r="T17" s="2"/>
      <c r="U17" s="2"/>
      <c r="V17" s="2"/>
      <c r="W17" s="5"/>
      <c r="X17" s="6"/>
      <c r="Y17" s="66">
        <v>3</v>
      </c>
      <c r="Z17" s="50">
        <f t="shared" si="8"/>
        <v>1793.3827027027028</v>
      </c>
      <c r="AA17" s="51">
        <f t="shared" si="9"/>
        <v>3159.7695238095239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45569</v>
      </c>
      <c r="B18" s="58">
        <f t="shared" si="0"/>
        <v>4</v>
      </c>
      <c r="C18" s="40">
        <f t="shared" si="1"/>
        <v>6</v>
      </c>
      <c r="D18" s="73">
        <v>51914.7</v>
      </c>
      <c r="E18" s="42">
        <f t="shared" si="12"/>
        <v>200129.18</v>
      </c>
      <c r="F18" s="60">
        <v>49</v>
      </c>
      <c r="G18" s="61">
        <v>25</v>
      </c>
      <c r="H18" s="26">
        <f t="shared" si="13"/>
        <v>45934</v>
      </c>
      <c r="I18" s="58">
        <f t="shared" si="2"/>
        <v>4</v>
      </c>
      <c r="J18" s="40">
        <f t="shared" si="3"/>
        <v>7</v>
      </c>
      <c r="K18" s="59">
        <v>63667.48</v>
      </c>
      <c r="L18" s="42">
        <f t="shared" si="14"/>
        <v>130022.64000000001</v>
      </c>
      <c r="M18" s="60">
        <v>56</v>
      </c>
      <c r="N18" s="61">
        <v>40</v>
      </c>
      <c r="O18" s="5"/>
      <c r="P18" s="62">
        <f t="shared" si="4"/>
        <v>11752.780000000006</v>
      </c>
      <c r="Q18" s="63">
        <f t="shared" si="5"/>
        <v>0.22638636070323059</v>
      </c>
      <c r="R18" s="64">
        <f t="shared" si="6"/>
        <v>-70106.539999999979</v>
      </c>
      <c r="S18" s="65">
        <f t="shared" si="7"/>
        <v>-0.35030643707229492</v>
      </c>
      <c r="T18" s="2"/>
      <c r="U18" s="2"/>
      <c r="V18" s="2"/>
      <c r="W18" s="5"/>
      <c r="X18" s="6"/>
      <c r="Y18" s="66">
        <v>4</v>
      </c>
      <c r="Z18" s="50">
        <f t="shared" si="8"/>
        <v>2321.8328571428574</v>
      </c>
      <c r="AA18" s="51">
        <f t="shared" si="9"/>
        <v>3250.5660000000003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45570</v>
      </c>
      <c r="B19" s="58">
        <f t="shared" si="0"/>
        <v>5</v>
      </c>
      <c r="C19" s="40">
        <f t="shared" si="1"/>
        <v>7</v>
      </c>
      <c r="D19" s="73">
        <v>67520.7</v>
      </c>
      <c r="E19" s="42">
        <f t="shared" si="12"/>
        <v>267649.88</v>
      </c>
      <c r="F19" s="60">
        <v>66</v>
      </c>
      <c r="G19" s="61">
        <v>41</v>
      </c>
      <c r="H19" s="26">
        <f t="shared" si="13"/>
        <v>45935</v>
      </c>
      <c r="I19" s="58">
        <f t="shared" si="2"/>
        <v>5</v>
      </c>
      <c r="J19" s="40">
        <f t="shared" si="3"/>
        <v>1</v>
      </c>
      <c r="K19" s="59">
        <v>49739.71</v>
      </c>
      <c r="L19" s="42">
        <f t="shared" si="14"/>
        <v>179762.35</v>
      </c>
      <c r="M19" s="60">
        <v>56</v>
      </c>
      <c r="N19" s="61">
        <v>32</v>
      </c>
      <c r="O19" s="5"/>
      <c r="P19" s="62">
        <f t="shared" si="4"/>
        <v>-17780.989999999998</v>
      </c>
      <c r="Q19" s="63">
        <f t="shared" si="5"/>
        <v>-0.26334131607047906</v>
      </c>
      <c r="R19" s="64">
        <f t="shared" si="6"/>
        <v>-87887.53</v>
      </c>
      <c r="S19" s="65">
        <f t="shared" si="7"/>
        <v>-0.32836752999851893</v>
      </c>
      <c r="T19" s="2"/>
      <c r="U19" s="2"/>
      <c r="V19" s="2"/>
      <c r="W19" s="5"/>
      <c r="X19" s="6"/>
      <c r="Y19" s="66">
        <v>5</v>
      </c>
      <c r="Z19" s="50">
        <f t="shared" si="8"/>
        <v>3210.0419642857146</v>
      </c>
      <c r="AA19" s="51">
        <f t="shared" si="9"/>
        <v>5617.5734375000002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45571</v>
      </c>
      <c r="B20" s="58">
        <f t="shared" si="0"/>
        <v>6</v>
      </c>
      <c r="C20" s="40">
        <f t="shared" si="1"/>
        <v>1</v>
      </c>
      <c r="D20" s="73">
        <v>100630.22</v>
      </c>
      <c r="E20" s="42">
        <f t="shared" si="12"/>
        <v>368280.1</v>
      </c>
      <c r="F20" s="60">
        <v>89</v>
      </c>
      <c r="G20" s="61">
        <v>58</v>
      </c>
      <c r="H20" s="26">
        <f t="shared" si="13"/>
        <v>45936</v>
      </c>
      <c r="I20" s="58">
        <f t="shared" si="2"/>
        <v>6</v>
      </c>
      <c r="J20" s="40">
        <f t="shared" si="3"/>
        <v>2</v>
      </c>
      <c r="K20" s="59">
        <v>20346.37</v>
      </c>
      <c r="L20" s="42">
        <f t="shared" si="14"/>
        <v>200108.72</v>
      </c>
      <c r="M20" s="60">
        <v>31</v>
      </c>
      <c r="N20" s="61">
        <v>19</v>
      </c>
      <c r="O20" s="5"/>
      <c r="P20" s="62">
        <f t="shared" si="4"/>
        <v>-80283.850000000006</v>
      </c>
      <c r="Q20" s="63">
        <f t="shared" si="5"/>
        <v>-0.79781053842473959</v>
      </c>
      <c r="R20" s="64">
        <f t="shared" si="6"/>
        <v>-168171.37999999998</v>
      </c>
      <c r="S20" s="65">
        <f t="shared" si="7"/>
        <v>-0.45663987817967899</v>
      </c>
      <c r="T20" s="2"/>
      <c r="U20" s="2"/>
      <c r="V20" s="2"/>
      <c r="W20" s="5"/>
      <c r="X20" s="6"/>
      <c r="Y20" s="66">
        <v>6</v>
      </c>
      <c r="Z20" s="50">
        <f t="shared" si="8"/>
        <v>6455.12</v>
      </c>
      <c r="AA20" s="51">
        <f t="shared" si="9"/>
        <v>10532.037894736843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45572</v>
      </c>
      <c r="B21" s="58">
        <f t="shared" si="0"/>
        <v>7</v>
      </c>
      <c r="C21" s="40">
        <f t="shared" si="1"/>
        <v>2</v>
      </c>
      <c r="D21" s="73">
        <v>0</v>
      </c>
      <c r="E21" s="42">
        <f t="shared" si="12"/>
        <v>368280.1</v>
      </c>
      <c r="F21" s="60">
        <v>0</v>
      </c>
      <c r="G21" s="61">
        <v>0</v>
      </c>
      <c r="H21" s="26">
        <f t="shared" si="13"/>
        <v>45937</v>
      </c>
      <c r="I21" s="58">
        <f t="shared" si="2"/>
        <v>7</v>
      </c>
      <c r="J21" s="40">
        <f t="shared" si="3"/>
        <v>3</v>
      </c>
      <c r="K21" s="59">
        <v>34707.42</v>
      </c>
      <c r="L21" s="42">
        <f t="shared" si="14"/>
        <v>234816.14</v>
      </c>
      <c r="M21" s="60">
        <v>34</v>
      </c>
      <c r="N21" s="61">
        <v>17</v>
      </c>
      <c r="O21" s="5"/>
      <c r="P21" s="62">
        <f t="shared" si="4"/>
        <v>34707.42</v>
      </c>
      <c r="Q21" s="63" t="str">
        <f t="shared" si="5"/>
        <v xml:space="preserve"> </v>
      </c>
      <c r="R21" s="64">
        <f t="shared" si="6"/>
        <v>-133463.95999999996</v>
      </c>
      <c r="S21" s="65">
        <f t="shared" si="7"/>
        <v>-0.36239796828555215</v>
      </c>
      <c r="T21" s="2"/>
      <c r="U21" s="2"/>
      <c r="V21" s="2"/>
      <c r="W21" s="5"/>
      <c r="X21" s="6"/>
      <c r="Y21" s="66">
        <v>7</v>
      </c>
      <c r="Z21" s="50">
        <f t="shared" si="8"/>
        <v>6906.3570588235298</v>
      </c>
      <c r="AA21" s="51">
        <f t="shared" si="9"/>
        <v>13812.71411764706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45573</v>
      </c>
      <c r="B22" s="58">
        <f t="shared" si="0"/>
        <v>8</v>
      </c>
      <c r="C22" s="40">
        <f t="shared" si="1"/>
        <v>3</v>
      </c>
      <c r="D22" s="73">
        <v>0</v>
      </c>
      <c r="E22" s="42">
        <f t="shared" si="12"/>
        <v>368280.1</v>
      </c>
      <c r="F22" s="60">
        <v>0</v>
      </c>
      <c r="G22" s="61">
        <v>0</v>
      </c>
      <c r="H22" s="26">
        <f t="shared" si="13"/>
        <v>45938</v>
      </c>
      <c r="I22" s="58">
        <f t="shared" si="2"/>
        <v>8</v>
      </c>
      <c r="J22" s="40">
        <f t="shared" si="3"/>
        <v>4</v>
      </c>
      <c r="K22" s="59">
        <v>19362.939999999999</v>
      </c>
      <c r="L22" s="42">
        <f t="shared" si="14"/>
        <v>254179.08000000002</v>
      </c>
      <c r="M22" s="60">
        <v>19</v>
      </c>
      <c r="N22" s="61">
        <v>13</v>
      </c>
      <c r="O22" s="5"/>
      <c r="P22" s="62">
        <f t="shared" si="4"/>
        <v>19362.939999999999</v>
      </c>
      <c r="Q22" s="63" t="str">
        <f t="shared" si="5"/>
        <v xml:space="preserve"> </v>
      </c>
      <c r="R22" s="64">
        <f t="shared" si="6"/>
        <v>-114101.01999999996</v>
      </c>
      <c r="S22" s="65">
        <f t="shared" si="7"/>
        <v>-0.30982130177546918</v>
      </c>
      <c r="T22" s="2"/>
      <c r="U22" s="2"/>
      <c r="V22" s="2"/>
      <c r="W22" s="5"/>
      <c r="X22" s="6"/>
      <c r="Y22" s="66">
        <v>8</v>
      </c>
      <c r="Z22" s="50">
        <f t="shared" si="8"/>
        <v>13377.846315789475</v>
      </c>
      <c r="AA22" s="51">
        <f t="shared" si="9"/>
        <v>19552.236923076925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45574</v>
      </c>
      <c r="B23" s="58">
        <f t="shared" si="0"/>
        <v>9</v>
      </c>
      <c r="C23" s="40">
        <f t="shared" si="1"/>
        <v>4</v>
      </c>
      <c r="D23" s="73">
        <v>36587.519999999997</v>
      </c>
      <c r="E23" s="42">
        <f t="shared" si="12"/>
        <v>404867.62</v>
      </c>
      <c r="F23" s="60">
        <v>30</v>
      </c>
      <c r="G23" s="61">
        <v>22</v>
      </c>
      <c r="H23" s="26">
        <f t="shared" si="13"/>
        <v>45939</v>
      </c>
      <c r="I23" s="58">
        <f t="shared" si="2"/>
        <v>9</v>
      </c>
      <c r="J23" s="40">
        <f t="shared" si="3"/>
        <v>5</v>
      </c>
      <c r="K23" s="59">
        <v>12262.94</v>
      </c>
      <c r="L23" s="42">
        <f t="shared" si="14"/>
        <v>266442.02</v>
      </c>
      <c r="M23" s="60">
        <v>15</v>
      </c>
      <c r="N23" s="61">
        <v>12</v>
      </c>
      <c r="O23" s="5"/>
      <c r="P23" s="62">
        <f t="shared" si="4"/>
        <v>-24324.579999999994</v>
      </c>
      <c r="Q23" s="63">
        <f t="shared" si="5"/>
        <v>-0.66483270798348726</v>
      </c>
      <c r="R23" s="64">
        <f t="shared" si="6"/>
        <v>-138425.59999999998</v>
      </c>
      <c r="S23" s="65">
        <f t="shared" si="7"/>
        <v>-0.34190336090596718</v>
      </c>
      <c r="T23" s="2"/>
      <c r="U23" s="2"/>
      <c r="V23" s="2"/>
      <c r="W23" s="5"/>
      <c r="X23" s="6"/>
      <c r="Y23" s="66">
        <v>9</v>
      </c>
      <c r="Z23" s="50">
        <f t="shared" si="8"/>
        <v>17762.801333333333</v>
      </c>
      <c r="AA23" s="51">
        <f t="shared" si="9"/>
        <v>22203.501666666667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45575</v>
      </c>
      <c r="B24" s="58">
        <f t="shared" si="0"/>
        <v>10</v>
      </c>
      <c r="C24" s="40">
        <f t="shared" si="1"/>
        <v>5</v>
      </c>
      <c r="D24" s="73">
        <v>33103.46</v>
      </c>
      <c r="E24" s="42">
        <f t="shared" si="12"/>
        <v>437971.08</v>
      </c>
      <c r="F24" s="60">
        <v>30</v>
      </c>
      <c r="G24" s="61">
        <v>24</v>
      </c>
      <c r="H24" s="26">
        <f t="shared" si="13"/>
        <v>45940</v>
      </c>
      <c r="I24" s="58">
        <f t="shared" si="2"/>
        <v>10</v>
      </c>
      <c r="J24" s="40">
        <f t="shared" si="3"/>
        <v>6</v>
      </c>
      <c r="K24" s="59">
        <v>21452.61</v>
      </c>
      <c r="L24" s="42">
        <f t="shared" si="14"/>
        <v>287894.63</v>
      </c>
      <c r="M24" s="60">
        <v>25</v>
      </c>
      <c r="N24" s="61">
        <v>21</v>
      </c>
      <c r="O24" s="5"/>
      <c r="P24" s="62">
        <f t="shared" si="4"/>
        <v>-11650.849999999999</v>
      </c>
      <c r="Q24" s="63">
        <f t="shared" si="5"/>
        <v>-0.35195263576677482</v>
      </c>
      <c r="R24" s="64">
        <f t="shared" si="6"/>
        <v>-150076.45000000001</v>
      </c>
      <c r="S24" s="65">
        <f t="shared" si="7"/>
        <v>-0.34266292194452663</v>
      </c>
      <c r="T24" s="2"/>
      <c r="U24" s="2"/>
      <c r="V24" s="2"/>
      <c r="W24" s="5"/>
      <c r="X24" s="6"/>
      <c r="Y24" s="66">
        <v>10</v>
      </c>
      <c r="Z24" s="50">
        <f t="shared" si="8"/>
        <v>11515.7852</v>
      </c>
      <c r="AA24" s="51">
        <f t="shared" si="9"/>
        <v>13709.268095238096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45576</v>
      </c>
      <c r="B25" s="58">
        <f t="shared" si="0"/>
        <v>11</v>
      </c>
      <c r="C25" s="40">
        <f t="shared" si="1"/>
        <v>6</v>
      </c>
      <c r="D25" s="73">
        <v>46419.83</v>
      </c>
      <c r="E25" s="42">
        <f t="shared" si="12"/>
        <v>484390.91000000003</v>
      </c>
      <c r="F25" s="60">
        <v>34</v>
      </c>
      <c r="G25" s="61">
        <v>24</v>
      </c>
      <c r="H25" s="26">
        <f t="shared" si="13"/>
        <v>45941</v>
      </c>
      <c r="I25" s="58">
        <f t="shared" si="2"/>
        <v>11</v>
      </c>
      <c r="J25" s="40">
        <f t="shared" si="3"/>
        <v>7</v>
      </c>
      <c r="K25" s="59">
        <v>60794.18</v>
      </c>
      <c r="L25" s="42">
        <f t="shared" si="14"/>
        <v>348688.81</v>
      </c>
      <c r="M25" s="60">
        <v>59</v>
      </c>
      <c r="N25" s="61">
        <v>30</v>
      </c>
      <c r="O25" s="5"/>
      <c r="P25" s="62">
        <f t="shared" si="4"/>
        <v>14374.349999999999</v>
      </c>
      <c r="Q25" s="63">
        <f t="shared" si="5"/>
        <v>0.30965968638833874</v>
      </c>
      <c r="R25" s="64">
        <f t="shared" si="6"/>
        <v>-135702.10000000003</v>
      </c>
      <c r="S25" s="65">
        <f t="shared" si="7"/>
        <v>-0.28014997226104021</v>
      </c>
      <c r="T25" s="2"/>
      <c r="U25" s="2"/>
      <c r="V25" s="2"/>
      <c r="W25" s="5"/>
      <c r="X25" s="6"/>
      <c r="Y25" s="66">
        <v>11</v>
      </c>
      <c r="Z25" s="50">
        <f t="shared" si="8"/>
        <v>5909.9798305084742</v>
      </c>
      <c r="AA25" s="51">
        <f t="shared" si="9"/>
        <v>11622.960333333333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45577</v>
      </c>
      <c r="B26" s="58">
        <f t="shared" si="0"/>
        <v>12</v>
      </c>
      <c r="C26" s="40">
        <f t="shared" si="1"/>
        <v>7</v>
      </c>
      <c r="D26" s="73">
        <v>83137.09</v>
      </c>
      <c r="E26" s="42">
        <f t="shared" si="12"/>
        <v>567528</v>
      </c>
      <c r="F26" s="60">
        <v>71</v>
      </c>
      <c r="G26" s="61">
        <v>42</v>
      </c>
      <c r="H26" s="26">
        <f t="shared" si="13"/>
        <v>45942</v>
      </c>
      <c r="I26" s="58">
        <f t="shared" si="2"/>
        <v>12</v>
      </c>
      <c r="J26" s="40">
        <f t="shared" si="3"/>
        <v>1</v>
      </c>
      <c r="K26" s="59">
        <v>53568.17</v>
      </c>
      <c r="L26" s="42">
        <f t="shared" si="14"/>
        <v>402256.98</v>
      </c>
      <c r="M26" s="60">
        <v>66</v>
      </c>
      <c r="N26" s="61">
        <v>41</v>
      </c>
      <c r="O26" s="5"/>
      <c r="P26" s="62">
        <f t="shared" si="4"/>
        <v>-29568.92</v>
      </c>
      <c r="Q26" s="63">
        <f t="shared" si="5"/>
        <v>-0.35566460168379721</v>
      </c>
      <c r="R26" s="64">
        <f t="shared" si="6"/>
        <v>-165271.02000000002</v>
      </c>
      <c r="S26" s="65">
        <f t="shared" si="7"/>
        <v>-0.29121209878631538</v>
      </c>
      <c r="T26" s="2"/>
      <c r="U26" s="2"/>
      <c r="V26" s="2"/>
      <c r="W26" s="5"/>
      <c r="X26" s="6"/>
      <c r="Y26" s="66">
        <v>12</v>
      </c>
      <c r="Z26" s="50">
        <f t="shared" si="8"/>
        <v>6094.8027272727268</v>
      </c>
      <c r="AA26" s="51">
        <f t="shared" si="9"/>
        <v>9811.145853658536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45578</v>
      </c>
      <c r="B27" s="58">
        <f t="shared" si="0"/>
        <v>13</v>
      </c>
      <c r="C27" s="40">
        <f t="shared" si="1"/>
        <v>1</v>
      </c>
      <c r="D27" s="73">
        <v>98872.65</v>
      </c>
      <c r="E27" s="42">
        <f t="shared" si="12"/>
        <v>666400.65</v>
      </c>
      <c r="F27" s="60">
        <v>90</v>
      </c>
      <c r="G27" s="61">
        <v>56</v>
      </c>
      <c r="H27" s="26">
        <f t="shared" si="13"/>
        <v>45943</v>
      </c>
      <c r="I27" s="58">
        <f t="shared" si="2"/>
        <v>13</v>
      </c>
      <c r="J27" s="40">
        <f t="shared" si="3"/>
        <v>2</v>
      </c>
      <c r="K27" s="59">
        <v>42241.919999999998</v>
      </c>
      <c r="L27" s="42">
        <f t="shared" si="14"/>
        <v>444498.89999999997</v>
      </c>
      <c r="M27" s="60">
        <v>40</v>
      </c>
      <c r="N27" s="61">
        <v>20</v>
      </c>
      <c r="O27" s="5"/>
      <c r="P27" s="62">
        <f t="shared" si="4"/>
        <v>-56630.729999999996</v>
      </c>
      <c r="Q27" s="63">
        <f t="shared" si="5"/>
        <v>-0.57276435900120004</v>
      </c>
      <c r="R27" s="64">
        <f t="shared" si="6"/>
        <v>-221901.75000000006</v>
      </c>
      <c r="S27" s="65">
        <f t="shared" si="7"/>
        <v>-0.33298549453695769</v>
      </c>
      <c r="T27" s="2"/>
      <c r="U27" s="2"/>
      <c r="V27" s="2"/>
      <c r="W27" s="5"/>
      <c r="X27" s="6"/>
      <c r="Y27" s="66">
        <v>13</v>
      </c>
      <c r="Z27" s="50">
        <f t="shared" si="8"/>
        <v>11112.4725</v>
      </c>
      <c r="AA27" s="51">
        <f t="shared" si="9"/>
        <v>22224.945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45579</v>
      </c>
      <c r="B28" s="58">
        <f t="shared" si="0"/>
        <v>14</v>
      </c>
      <c r="C28" s="40">
        <f t="shared" si="1"/>
        <v>2</v>
      </c>
      <c r="D28" s="73">
        <v>31924.400000000001</v>
      </c>
      <c r="E28" s="42">
        <f t="shared" si="12"/>
        <v>698325.05</v>
      </c>
      <c r="F28" s="60">
        <v>31</v>
      </c>
      <c r="G28" s="61">
        <v>20</v>
      </c>
      <c r="H28" s="26">
        <f t="shared" si="13"/>
        <v>45944</v>
      </c>
      <c r="I28" s="58">
        <f t="shared" si="2"/>
        <v>14</v>
      </c>
      <c r="J28" s="40">
        <f t="shared" si="3"/>
        <v>3</v>
      </c>
      <c r="K28" s="59">
        <v>60274.69</v>
      </c>
      <c r="L28" s="42">
        <f t="shared" si="14"/>
        <v>504773.58999999997</v>
      </c>
      <c r="M28" s="60">
        <v>55</v>
      </c>
      <c r="N28" s="61">
        <v>26</v>
      </c>
      <c r="O28" s="5"/>
      <c r="P28" s="62">
        <f t="shared" si="4"/>
        <v>28350.29</v>
      </c>
      <c r="Q28" s="63">
        <f t="shared" si="5"/>
        <v>0.88804456779140728</v>
      </c>
      <c r="R28" s="64">
        <f t="shared" si="6"/>
        <v>-193551.46000000008</v>
      </c>
      <c r="S28" s="65">
        <f t="shared" si="7"/>
        <v>-0.27716528284356989</v>
      </c>
      <c r="T28" s="2"/>
      <c r="U28" s="2"/>
      <c r="V28" s="2"/>
      <c r="W28" s="5"/>
      <c r="X28" s="6"/>
      <c r="Y28" s="66">
        <v>14</v>
      </c>
      <c r="Z28" s="50">
        <f t="shared" si="8"/>
        <v>9177.7016363636358</v>
      </c>
      <c r="AA28" s="51">
        <f t="shared" si="9"/>
        <v>19414.368846153844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45580</v>
      </c>
      <c r="B29" s="58">
        <f t="shared" si="0"/>
        <v>15</v>
      </c>
      <c r="C29" s="40">
        <f t="shared" si="1"/>
        <v>3</v>
      </c>
      <c r="D29" s="73">
        <v>39419.050000000003</v>
      </c>
      <c r="E29" s="42">
        <f t="shared" si="12"/>
        <v>737744.10000000009</v>
      </c>
      <c r="F29" s="60">
        <v>30</v>
      </c>
      <c r="G29" s="61">
        <v>22</v>
      </c>
      <c r="H29" s="26">
        <f t="shared" si="13"/>
        <v>45945</v>
      </c>
      <c r="I29" s="58">
        <f t="shared" si="2"/>
        <v>15</v>
      </c>
      <c r="J29" s="40">
        <f t="shared" si="3"/>
        <v>4</v>
      </c>
      <c r="K29" s="59">
        <v>20321</v>
      </c>
      <c r="L29" s="42">
        <f t="shared" si="14"/>
        <v>525094.59</v>
      </c>
      <c r="M29" s="60">
        <v>23</v>
      </c>
      <c r="N29" s="61">
        <v>16</v>
      </c>
      <c r="O29" s="5"/>
      <c r="P29" s="62">
        <f t="shared" si="4"/>
        <v>-19098.050000000003</v>
      </c>
      <c r="Q29" s="63">
        <f t="shared" si="5"/>
        <v>-0.48448783012274521</v>
      </c>
      <c r="R29" s="64">
        <f t="shared" si="6"/>
        <v>-212649.51000000013</v>
      </c>
      <c r="S29" s="65">
        <f t="shared" si="7"/>
        <v>-0.28824291512463485</v>
      </c>
      <c r="T29" s="2"/>
      <c r="U29" s="2"/>
      <c r="V29" s="2"/>
      <c r="W29" s="5"/>
      <c r="X29" s="6"/>
      <c r="Y29" s="66">
        <v>15</v>
      </c>
      <c r="Z29" s="50">
        <f t="shared" si="8"/>
        <v>22830.19956521739</v>
      </c>
      <c r="AA29" s="51">
        <f t="shared" si="9"/>
        <v>32818.411874999998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45581</v>
      </c>
      <c r="B30" s="58">
        <f t="shared" si="0"/>
        <v>16</v>
      </c>
      <c r="C30" s="40">
        <f t="shared" si="1"/>
        <v>4</v>
      </c>
      <c r="D30" s="73">
        <v>35932.15</v>
      </c>
      <c r="E30" s="42">
        <f t="shared" si="12"/>
        <v>773676.25000000012</v>
      </c>
      <c r="F30" s="60">
        <v>31</v>
      </c>
      <c r="G30" s="61">
        <v>22</v>
      </c>
      <c r="H30" s="26">
        <f t="shared" si="13"/>
        <v>45946</v>
      </c>
      <c r="I30" s="58">
        <f t="shared" si="2"/>
        <v>16</v>
      </c>
      <c r="J30" s="40">
        <f t="shared" si="3"/>
        <v>5</v>
      </c>
      <c r="K30" s="59">
        <v>27138.82</v>
      </c>
      <c r="L30" s="42">
        <f t="shared" si="14"/>
        <v>552233.40999999992</v>
      </c>
      <c r="M30" s="60">
        <v>30</v>
      </c>
      <c r="N30" s="61">
        <v>22</v>
      </c>
      <c r="O30" s="5"/>
      <c r="P30" s="62">
        <f t="shared" si="4"/>
        <v>-8793.3300000000017</v>
      </c>
      <c r="Q30" s="63">
        <f t="shared" si="5"/>
        <v>-0.24472039663643841</v>
      </c>
      <c r="R30" s="64">
        <f t="shared" si="6"/>
        <v>-221442.8400000002</v>
      </c>
      <c r="S30" s="65">
        <f t="shared" si="7"/>
        <v>-0.28622158170164869</v>
      </c>
      <c r="T30" s="2"/>
      <c r="U30" s="2"/>
      <c r="V30" s="2"/>
      <c r="W30" s="5"/>
      <c r="X30" s="6"/>
      <c r="Y30" s="66">
        <v>16</v>
      </c>
      <c r="Z30" s="50">
        <f t="shared" si="8"/>
        <v>18407.780333333332</v>
      </c>
      <c r="AA30" s="51">
        <f t="shared" si="9"/>
        <v>25101.518636363631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45582</v>
      </c>
      <c r="B31" s="58">
        <f t="shared" si="0"/>
        <v>17</v>
      </c>
      <c r="C31" s="40">
        <f t="shared" si="1"/>
        <v>5</v>
      </c>
      <c r="D31" s="73">
        <v>41639.949999999997</v>
      </c>
      <c r="E31" s="42">
        <f t="shared" si="12"/>
        <v>815316.20000000007</v>
      </c>
      <c r="F31" s="60">
        <v>44</v>
      </c>
      <c r="G31" s="61">
        <v>33</v>
      </c>
      <c r="H31" s="26">
        <f t="shared" si="13"/>
        <v>45947</v>
      </c>
      <c r="I31" s="58">
        <f t="shared" si="2"/>
        <v>17</v>
      </c>
      <c r="J31" s="40">
        <f t="shared" si="3"/>
        <v>6</v>
      </c>
      <c r="K31" s="59">
        <v>38113.83</v>
      </c>
      <c r="L31" s="42">
        <f t="shared" si="14"/>
        <v>590347.23999999987</v>
      </c>
      <c r="M31" s="60">
        <v>38</v>
      </c>
      <c r="N31" s="61">
        <v>25</v>
      </c>
      <c r="O31" s="5"/>
      <c r="P31" s="62">
        <f t="shared" si="4"/>
        <v>-3526.1199999999953</v>
      </c>
      <c r="Q31" s="63">
        <f t="shared" si="5"/>
        <v>-8.4681177571058419E-2</v>
      </c>
      <c r="R31" s="64">
        <f t="shared" si="6"/>
        <v>-224968.9600000002</v>
      </c>
      <c r="S31" s="65">
        <f t="shared" si="7"/>
        <v>-0.27592848026324046</v>
      </c>
      <c r="T31" s="2"/>
      <c r="U31" s="2"/>
      <c r="V31" s="2"/>
      <c r="W31" s="5"/>
      <c r="X31" s="6"/>
      <c r="Y31" s="66">
        <v>17</v>
      </c>
      <c r="Z31" s="50">
        <f t="shared" si="8"/>
        <v>15535.453684210523</v>
      </c>
      <c r="AA31" s="51">
        <f t="shared" si="9"/>
        <v>23613.889599999995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45583</v>
      </c>
      <c r="B32" s="58">
        <f t="shared" si="0"/>
        <v>18</v>
      </c>
      <c r="C32" s="40">
        <f t="shared" si="1"/>
        <v>6</v>
      </c>
      <c r="D32" s="73">
        <v>46302</v>
      </c>
      <c r="E32" s="42">
        <f t="shared" si="12"/>
        <v>861618.20000000007</v>
      </c>
      <c r="F32" s="60">
        <v>40</v>
      </c>
      <c r="G32" s="61">
        <v>30</v>
      </c>
      <c r="H32" s="26">
        <f t="shared" si="13"/>
        <v>45948</v>
      </c>
      <c r="I32" s="58">
        <f t="shared" si="2"/>
        <v>18</v>
      </c>
      <c r="J32" s="40">
        <f t="shared" si="3"/>
        <v>7</v>
      </c>
      <c r="K32" s="59">
        <v>54156.09</v>
      </c>
      <c r="L32" s="42">
        <f t="shared" si="14"/>
        <v>644503.32999999984</v>
      </c>
      <c r="M32" s="60">
        <v>49</v>
      </c>
      <c r="N32" s="61">
        <v>30</v>
      </c>
      <c r="O32" s="5"/>
      <c r="P32" s="62">
        <f t="shared" si="4"/>
        <v>7854.0899999999965</v>
      </c>
      <c r="Q32" s="63">
        <f t="shared" si="5"/>
        <v>0.1696274458986653</v>
      </c>
      <c r="R32" s="64">
        <f t="shared" si="6"/>
        <v>-217114.87000000023</v>
      </c>
      <c r="S32" s="65">
        <f t="shared" si="7"/>
        <v>-0.25198500913745814</v>
      </c>
      <c r="T32" s="2"/>
      <c r="U32" s="2"/>
      <c r="V32" s="2"/>
      <c r="W32" s="5"/>
      <c r="X32" s="6"/>
      <c r="Y32" s="66">
        <v>18</v>
      </c>
      <c r="Z32" s="50">
        <f t="shared" si="8"/>
        <v>13153.129183673465</v>
      </c>
      <c r="AA32" s="51">
        <f t="shared" si="9"/>
        <v>21483.444333333329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45584</v>
      </c>
      <c r="B33" s="58">
        <f t="shared" si="0"/>
        <v>19</v>
      </c>
      <c r="C33" s="40">
        <f t="shared" si="1"/>
        <v>7</v>
      </c>
      <c r="D33" s="73">
        <v>76034.960000000006</v>
      </c>
      <c r="E33" s="42">
        <f t="shared" si="12"/>
        <v>937653.16</v>
      </c>
      <c r="F33" s="60">
        <v>67</v>
      </c>
      <c r="G33" s="61">
        <v>39</v>
      </c>
      <c r="H33" s="26">
        <f t="shared" si="13"/>
        <v>45949</v>
      </c>
      <c r="I33" s="58">
        <f t="shared" si="2"/>
        <v>19</v>
      </c>
      <c r="J33" s="40">
        <f t="shared" si="3"/>
        <v>1</v>
      </c>
      <c r="K33" s="59">
        <v>59599.33</v>
      </c>
      <c r="L33" s="42">
        <f t="shared" si="14"/>
        <v>704102.6599999998</v>
      </c>
      <c r="M33" s="60">
        <v>66</v>
      </c>
      <c r="N33" s="61">
        <v>44</v>
      </c>
      <c r="O33" s="5"/>
      <c r="P33" s="62">
        <f t="shared" si="4"/>
        <v>-16435.630000000005</v>
      </c>
      <c r="Q33" s="63">
        <f t="shared" si="5"/>
        <v>-0.21615885639974042</v>
      </c>
      <c r="R33" s="64">
        <f t="shared" si="6"/>
        <v>-233550.50000000023</v>
      </c>
      <c r="S33" s="65">
        <f t="shared" si="7"/>
        <v>-0.24907984099365721</v>
      </c>
      <c r="T33" s="2"/>
      <c r="U33" s="2"/>
      <c r="V33" s="2"/>
      <c r="W33" s="5"/>
      <c r="X33" s="6"/>
      <c r="Y33" s="66">
        <v>19</v>
      </c>
      <c r="Z33" s="50">
        <f t="shared" si="8"/>
        <v>10668.222121212119</v>
      </c>
      <c r="AA33" s="51">
        <f t="shared" si="9"/>
        <v>16002.333181818178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45585</v>
      </c>
      <c r="B34" s="58">
        <f t="shared" si="0"/>
        <v>20</v>
      </c>
      <c r="C34" s="40">
        <f t="shared" si="1"/>
        <v>1</v>
      </c>
      <c r="D34" s="73">
        <v>76281.039999999994</v>
      </c>
      <c r="E34" s="42">
        <f t="shared" si="12"/>
        <v>1013934.2000000001</v>
      </c>
      <c r="F34" s="60">
        <v>65</v>
      </c>
      <c r="G34" s="61">
        <v>41</v>
      </c>
      <c r="H34" s="26">
        <f t="shared" si="13"/>
        <v>45950</v>
      </c>
      <c r="I34" s="58">
        <f t="shared" si="2"/>
        <v>20</v>
      </c>
      <c r="J34" s="40">
        <f t="shared" si="3"/>
        <v>2</v>
      </c>
      <c r="K34" s="59">
        <v>34783.129999999997</v>
      </c>
      <c r="L34" s="42">
        <f t="shared" si="14"/>
        <v>738885.7899999998</v>
      </c>
      <c r="M34" s="60">
        <v>22</v>
      </c>
      <c r="N34" s="61">
        <v>16</v>
      </c>
      <c r="O34" s="5"/>
      <c r="P34" s="62">
        <f t="shared" si="4"/>
        <v>-41497.909999999996</v>
      </c>
      <c r="Q34" s="63">
        <f t="shared" si="5"/>
        <v>-0.54401342718977086</v>
      </c>
      <c r="R34" s="64">
        <f t="shared" si="6"/>
        <v>-275048.41000000027</v>
      </c>
      <c r="S34" s="65">
        <f t="shared" si="7"/>
        <v>-0.27126850046087825</v>
      </c>
      <c r="T34" s="2"/>
      <c r="U34" s="2"/>
      <c r="V34" s="2"/>
      <c r="W34" s="5"/>
      <c r="X34" s="6"/>
      <c r="Y34" s="66">
        <v>20</v>
      </c>
      <c r="Z34" s="50">
        <f t="shared" si="8"/>
        <v>33585.71772727272</v>
      </c>
      <c r="AA34" s="51">
        <f t="shared" si="9"/>
        <v>46180.361874999988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45586</v>
      </c>
      <c r="B35" s="58">
        <f t="shared" si="0"/>
        <v>21</v>
      </c>
      <c r="C35" s="40">
        <f t="shared" si="1"/>
        <v>2</v>
      </c>
      <c r="D35" s="73">
        <v>30354.99</v>
      </c>
      <c r="E35" s="42">
        <f t="shared" si="12"/>
        <v>1044289.1900000001</v>
      </c>
      <c r="F35" s="60">
        <v>30</v>
      </c>
      <c r="G35" s="61">
        <v>20</v>
      </c>
      <c r="H35" s="26">
        <f t="shared" si="13"/>
        <v>45951</v>
      </c>
      <c r="I35" s="58">
        <f t="shared" si="2"/>
        <v>21</v>
      </c>
      <c r="J35" s="40">
        <f t="shared" si="3"/>
        <v>3</v>
      </c>
      <c r="K35" s="59">
        <v>26162.959999999999</v>
      </c>
      <c r="L35" s="42">
        <f t="shared" si="14"/>
        <v>765048.74999999977</v>
      </c>
      <c r="M35" s="60">
        <v>31</v>
      </c>
      <c r="N35" s="61">
        <v>19</v>
      </c>
      <c r="O35" s="5"/>
      <c r="P35" s="62">
        <f t="shared" si="4"/>
        <v>-4192.0300000000025</v>
      </c>
      <c r="Q35" s="63">
        <f t="shared" si="5"/>
        <v>-0.13810019374079852</v>
      </c>
      <c r="R35" s="64">
        <f t="shared" si="6"/>
        <v>-279240.44000000029</v>
      </c>
      <c r="S35" s="65">
        <f t="shared" si="7"/>
        <v>-0.26739761617181945</v>
      </c>
      <c r="T35" s="2"/>
      <c r="U35" s="2"/>
      <c r="V35" s="2"/>
      <c r="W35" s="5"/>
      <c r="X35" s="6"/>
      <c r="Y35" s="66">
        <v>21</v>
      </c>
      <c r="Z35" s="50">
        <f t="shared" si="8"/>
        <v>24678.991935483864</v>
      </c>
      <c r="AA35" s="51">
        <f t="shared" si="9"/>
        <v>40265.723684210512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45587</v>
      </c>
      <c r="B36" s="58">
        <f t="shared" si="0"/>
        <v>22</v>
      </c>
      <c r="C36" s="40">
        <f t="shared" si="1"/>
        <v>3</v>
      </c>
      <c r="D36" s="73">
        <v>33028.36</v>
      </c>
      <c r="E36" s="42">
        <f t="shared" si="12"/>
        <v>1077317.55</v>
      </c>
      <c r="F36" s="60">
        <v>28</v>
      </c>
      <c r="G36" s="61">
        <v>20</v>
      </c>
      <c r="H36" s="26">
        <f t="shared" si="13"/>
        <v>45952</v>
      </c>
      <c r="I36" s="58">
        <f t="shared" si="2"/>
        <v>22</v>
      </c>
      <c r="J36" s="40">
        <f t="shared" si="3"/>
        <v>4</v>
      </c>
      <c r="K36" s="59">
        <v>37817.25</v>
      </c>
      <c r="L36" s="42">
        <f t="shared" si="14"/>
        <v>802865.99999999977</v>
      </c>
      <c r="M36" s="60">
        <v>34</v>
      </c>
      <c r="N36" s="61">
        <v>23</v>
      </c>
      <c r="O36" s="5"/>
      <c r="P36" s="62">
        <f t="shared" si="4"/>
        <v>4788.8899999999994</v>
      </c>
      <c r="Q36" s="63">
        <f t="shared" si="5"/>
        <v>0.14499327244828386</v>
      </c>
      <c r="R36" s="64">
        <f t="shared" si="6"/>
        <v>-274451.55000000028</v>
      </c>
      <c r="S36" s="65">
        <f t="shared" si="7"/>
        <v>-0.25475455217451926</v>
      </c>
      <c r="T36" s="2"/>
      <c r="U36" s="2"/>
      <c r="V36" s="2"/>
      <c r="W36" s="5"/>
      <c r="X36" s="6"/>
      <c r="Y36" s="66">
        <v>22</v>
      </c>
      <c r="Z36" s="50">
        <f t="shared" si="8"/>
        <v>23613.705882352933</v>
      </c>
      <c r="AA36" s="51">
        <f t="shared" si="9"/>
        <v>34907.217391304337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45588</v>
      </c>
      <c r="B37" s="58">
        <f t="shared" si="0"/>
        <v>23</v>
      </c>
      <c r="C37" s="40">
        <f t="shared" si="1"/>
        <v>4</v>
      </c>
      <c r="D37" s="73">
        <v>30964.639999999999</v>
      </c>
      <c r="E37" s="42">
        <f t="shared" si="12"/>
        <v>1108282.19</v>
      </c>
      <c r="F37" s="60">
        <v>33</v>
      </c>
      <c r="G37" s="61">
        <v>25</v>
      </c>
      <c r="H37" s="26">
        <f t="shared" si="13"/>
        <v>45953</v>
      </c>
      <c r="I37" s="58">
        <f t="shared" si="2"/>
        <v>23</v>
      </c>
      <c r="J37" s="40">
        <f t="shared" si="3"/>
        <v>5</v>
      </c>
      <c r="K37" s="59">
        <v>16881.919999999998</v>
      </c>
      <c r="L37" s="42">
        <f t="shared" si="14"/>
        <v>819747.91999999981</v>
      </c>
      <c r="M37" s="60">
        <v>17</v>
      </c>
      <c r="N37" s="61">
        <v>15</v>
      </c>
      <c r="O37" s="5"/>
      <c r="P37" s="62">
        <f t="shared" si="4"/>
        <v>-14082.720000000001</v>
      </c>
      <c r="Q37" s="63">
        <f t="shared" si="5"/>
        <v>-0.45480005580558991</v>
      </c>
      <c r="R37" s="64">
        <f t="shared" si="6"/>
        <v>-288534.27000000014</v>
      </c>
      <c r="S37" s="65">
        <f t="shared" si="7"/>
        <v>-0.26034368557343701</v>
      </c>
      <c r="T37" s="2"/>
      <c r="U37" s="2"/>
      <c r="V37" s="2"/>
      <c r="W37" s="5"/>
      <c r="X37" s="6"/>
      <c r="Y37" s="66">
        <v>23</v>
      </c>
      <c r="Z37" s="50">
        <f t="shared" si="8"/>
        <v>48220.465882352932</v>
      </c>
      <c r="AA37" s="51">
        <f t="shared" si="9"/>
        <v>54649.86133333332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45589</v>
      </c>
      <c r="B38" s="58">
        <f t="shared" si="0"/>
        <v>24</v>
      </c>
      <c r="C38" s="40">
        <f t="shared" si="1"/>
        <v>5</v>
      </c>
      <c r="D38" s="73">
        <v>32396.54</v>
      </c>
      <c r="E38" s="42">
        <f t="shared" si="12"/>
        <v>1140678.73</v>
      </c>
      <c r="F38" s="60">
        <v>20</v>
      </c>
      <c r="G38" s="61">
        <v>16</v>
      </c>
      <c r="H38" s="26">
        <f t="shared" si="13"/>
        <v>45954</v>
      </c>
      <c r="I38" s="58">
        <f t="shared" si="2"/>
        <v>24</v>
      </c>
      <c r="J38" s="40">
        <f t="shared" si="3"/>
        <v>6</v>
      </c>
      <c r="K38" s="59">
        <v>40825.019999999997</v>
      </c>
      <c r="L38" s="42">
        <f t="shared" si="14"/>
        <v>860572.93999999983</v>
      </c>
      <c r="M38" s="60">
        <v>34</v>
      </c>
      <c r="N38" s="61">
        <v>23</v>
      </c>
      <c r="O38" s="5"/>
      <c r="P38" s="62">
        <f t="shared" si="4"/>
        <v>8428.4799999999959</v>
      </c>
      <c r="Q38" s="63">
        <f t="shared" si="5"/>
        <v>0.2601660547700464</v>
      </c>
      <c r="R38" s="64">
        <f t="shared" si="6"/>
        <v>-280105.79000000015</v>
      </c>
      <c r="S38" s="65">
        <f t="shared" si="7"/>
        <v>-0.24556063213346691</v>
      </c>
      <c r="T38" s="2"/>
      <c r="U38" s="2"/>
      <c r="V38" s="2"/>
      <c r="W38" s="5"/>
      <c r="X38" s="6"/>
      <c r="Y38" s="66">
        <v>24</v>
      </c>
      <c r="Z38" s="50">
        <f t="shared" si="8"/>
        <v>25310.968823529405</v>
      </c>
      <c r="AA38" s="51">
        <f t="shared" si="9"/>
        <v>37416.214782608688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45590</v>
      </c>
      <c r="B39" s="58">
        <f t="shared" si="0"/>
        <v>25</v>
      </c>
      <c r="C39" s="40">
        <f t="shared" si="1"/>
        <v>6</v>
      </c>
      <c r="D39" s="73">
        <v>61361.39</v>
      </c>
      <c r="E39" s="42">
        <f t="shared" si="12"/>
        <v>1202040.1199999999</v>
      </c>
      <c r="F39" s="60">
        <v>64</v>
      </c>
      <c r="G39" s="61">
        <v>37</v>
      </c>
      <c r="H39" s="26">
        <f t="shared" si="13"/>
        <v>45955</v>
      </c>
      <c r="I39" s="58">
        <f t="shared" si="2"/>
        <v>25</v>
      </c>
      <c r="J39" s="40">
        <f t="shared" si="3"/>
        <v>7</v>
      </c>
      <c r="K39" s="59">
        <v>24872.76</v>
      </c>
      <c r="L39" s="42">
        <f t="shared" si="14"/>
        <v>885445.69999999984</v>
      </c>
      <c r="M39" s="60">
        <v>28</v>
      </c>
      <c r="N39" s="61">
        <v>22</v>
      </c>
      <c r="O39" s="5"/>
      <c r="P39" s="62">
        <f t="shared" si="4"/>
        <v>-36488.630000000005</v>
      </c>
      <c r="Q39" s="63">
        <f t="shared" si="5"/>
        <v>-0.59465129456813148</v>
      </c>
      <c r="R39" s="64">
        <f t="shared" si="6"/>
        <v>-316594.42000000004</v>
      </c>
      <c r="S39" s="65">
        <f t="shared" si="7"/>
        <v>-0.2633809094491788</v>
      </c>
      <c r="T39" s="2"/>
      <c r="U39" s="2"/>
      <c r="V39" s="2"/>
      <c r="W39" s="5"/>
      <c r="X39" s="6"/>
      <c r="Y39" s="66">
        <v>25</v>
      </c>
      <c r="Z39" s="50">
        <f t="shared" si="8"/>
        <v>31623.060714285708</v>
      </c>
      <c r="AA39" s="51">
        <f t="shared" si="9"/>
        <v>40247.531818181807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45591</v>
      </c>
      <c r="B40" s="58">
        <f t="shared" si="0"/>
        <v>26</v>
      </c>
      <c r="C40" s="40">
        <f t="shared" si="1"/>
        <v>7</v>
      </c>
      <c r="D40" s="73">
        <v>68397.88</v>
      </c>
      <c r="E40" s="42">
        <f t="shared" si="12"/>
        <v>1270438</v>
      </c>
      <c r="F40" s="60">
        <v>60</v>
      </c>
      <c r="G40" s="61">
        <v>40</v>
      </c>
      <c r="H40" s="26">
        <f t="shared" si="13"/>
        <v>45956</v>
      </c>
      <c r="I40" s="58">
        <f t="shared" si="2"/>
        <v>26</v>
      </c>
      <c r="J40" s="40">
        <f t="shared" si="3"/>
        <v>1</v>
      </c>
      <c r="K40" s="59">
        <v>83852.479999999996</v>
      </c>
      <c r="L40" s="42">
        <f t="shared" si="14"/>
        <v>969298.17999999982</v>
      </c>
      <c r="M40" s="60">
        <v>69</v>
      </c>
      <c r="N40" s="61">
        <v>31</v>
      </c>
      <c r="O40" s="5"/>
      <c r="P40" s="62">
        <f t="shared" si="4"/>
        <v>15454.599999999991</v>
      </c>
      <c r="Q40" s="63">
        <f t="shared" si="5"/>
        <v>0.22595144761796693</v>
      </c>
      <c r="R40" s="64">
        <f t="shared" si="6"/>
        <v>-301139.82000000018</v>
      </c>
      <c r="S40" s="65">
        <f t="shared" si="7"/>
        <v>-0.23703621900478433</v>
      </c>
      <c r="T40" s="2"/>
      <c r="U40" s="2"/>
      <c r="V40" s="2"/>
      <c r="W40" s="5"/>
      <c r="X40" s="6"/>
      <c r="Y40" s="66">
        <v>26</v>
      </c>
      <c r="Z40" s="50">
        <f t="shared" si="8"/>
        <v>14047.799710144925</v>
      </c>
      <c r="AA40" s="51">
        <f t="shared" si="9"/>
        <v>31267.683225806446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45592</v>
      </c>
      <c r="B41" s="58">
        <f t="shared" si="0"/>
        <v>27</v>
      </c>
      <c r="C41" s="40">
        <f t="shared" si="1"/>
        <v>1</v>
      </c>
      <c r="D41" s="73">
        <v>107310.99</v>
      </c>
      <c r="E41" s="42">
        <f t="shared" si="12"/>
        <v>1377748.99</v>
      </c>
      <c r="F41" s="60">
        <v>92</v>
      </c>
      <c r="G41" s="61">
        <v>56</v>
      </c>
      <c r="H41" s="26">
        <f t="shared" si="13"/>
        <v>45957</v>
      </c>
      <c r="I41" s="58">
        <f t="shared" si="2"/>
        <v>27</v>
      </c>
      <c r="J41" s="40">
        <f t="shared" si="3"/>
        <v>2</v>
      </c>
      <c r="K41" s="59">
        <v>20776.05</v>
      </c>
      <c r="L41" s="42">
        <f t="shared" si="14"/>
        <v>990074.22999999986</v>
      </c>
      <c r="M41" s="60">
        <v>26</v>
      </c>
      <c r="N41" s="61">
        <v>15</v>
      </c>
      <c r="O41" s="5"/>
      <c r="P41" s="62">
        <f t="shared" si="4"/>
        <v>-86534.94</v>
      </c>
      <c r="Q41" s="63">
        <f t="shared" si="5"/>
        <v>-0.80639401425706725</v>
      </c>
      <c r="R41" s="64">
        <f t="shared" si="6"/>
        <v>-387674.76000000013</v>
      </c>
      <c r="S41" s="65">
        <f t="shared" si="7"/>
        <v>-0.28138272124590713</v>
      </c>
      <c r="T41" s="2"/>
      <c r="U41" s="2"/>
      <c r="V41" s="2"/>
      <c r="W41" s="5"/>
      <c r="X41" s="6"/>
      <c r="Y41" s="66">
        <v>27</v>
      </c>
      <c r="Z41" s="50">
        <f t="shared" si="8"/>
        <v>38079.778076923074</v>
      </c>
      <c r="AA41" s="51">
        <f t="shared" si="9"/>
        <v>66004.948666666663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45593</v>
      </c>
      <c r="B42" s="58">
        <f t="shared" si="0"/>
        <v>28</v>
      </c>
      <c r="C42" s="40">
        <f t="shared" si="1"/>
        <v>2</v>
      </c>
      <c r="D42" s="73">
        <v>58177.22</v>
      </c>
      <c r="E42" s="42">
        <f t="shared" si="12"/>
        <v>1435926.21</v>
      </c>
      <c r="F42" s="60">
        <v>46</v>
      </c>
      <c r="G42" s="61">
        <v>27</v>
      </c>
      <c r="H42" s="26">
        <f t="shared" si="13"/>
        <v>45958</v>
      </c>
      <c r="I42" s="58">
        <f t="shared" si="2"/>
        <v>28</v>
      </c>
      <c r="J42" s="40">
        <f t="shared" si="3"/>
        <v>3</v>
      </c>
      <c r="K42" s="59">
        <v>26112.94</v>
      </c>
      <c r="L42" s="42">
        <f t="shared" si="14"/>
        <v>1016187.1699999998</v>
      </c>
      <c r="M42" s="60">
        <v>31</v>
      </c>
      <c r="N42" s="61">
        <v>19</v>
      </c>
      <c r="O42" s="5"/>
      <c r="P42" s="62">
        <f t="shared" si="4"/>
        <v>-32064.280000000002</v>
      </c>
      <c r="Q42" s="63">
        <f t="shared" si="5"/>
        <v>-0.55114837044465181</v>
      </c>
      <c r="R42" s="64">
        <f t="shared" si="6"/>
        <v>-419739.04000000015</v>
      </c>
      <c r="S42" s="65">
        <f t="shared" si="7"/>
        <v>-0.29231240232045086</v>
      </c>
      <c r="T42" s="2"/>
      <c r="U42" s="2"/>
      <c r="V42" s="2"/>
      <c r="W42" s="5"/>
      <c r="X42" s="6"/>
      <c r="Y42" s="66">
        <v>28</v>
      </c>
      <c r="Z42" s="50">
        <f t="shared" si="8"/>
        <v>32780.231290322576</v>
      </c>
      <c r="AA42" s="51">
        <f t="shared" si="9"/>
        <v>53483.535263157886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45594</v>
      </c>
      <c r="B43" s="58">
        <f t="shared" si="0"/>
        <v>29</v>
      </c>
      <c r="C43" s="40">
        <f t="shared" si="1"/>
        <v>3</v>
      </c>
      <c r="D43" s="73">
        <v>32277.61</v>
      </c>
      <c r="E43" s="42">
        <f t="shared" si="12"/>
        <v>1468203.82</v>
      </c>
      <c r="F43" s="60">
        <v>28</v>
      </c>
      <c r="G43" s="61">
        <v>14</v>
      </c>
      <c r="H43" s="26">
        <f t="shared" si="13"/>
        <v>45959</v>
      </c>
      <c r="I43" s="58">
        <f t="shared" si="2"/>
        <v>29</v>
      </c>
      <c r="J43" s="40">
        <f t="shared" si="3"/>
        <v>4</v>
      </c>
      <c r="K43" s="59">
        <v>6691.56</v>
      </c>
      <c r="L43" s="42">
        <f t="shared" si="14"/>
        <v>1022878.7299999999</v>
      </c>
      <c r="M43" s="60">
        <v>8</v>
      </c>
      <c r="N43" s="61">
        <v>7</v>
      </c>
      <c r="O43" s="5"/>
      <c r="P43" s="62">
        <f t="shared" si="4"/>
        <v>-25586.05</v>
      </c>
      <c r="Q43" s="63">
        <f t="shared" si="5"/>
        <v>-0.79268725286661557</v>
      </c>
      <c r="R43" s="64">
        <f t="shared" si="6"/>
        <v>-445325.0900000002</v>
      </c>
      <c r="S43" s="65">
        <f t="shared" si="7"/>
        <v>-0.30331285338843494</v>
      </c>
      <c r="T43" s="2"/>
      <c r="U43" s="2"/>
      <c r="V43" s="2"/>
      <c r="W43" s="5"/>
      <c r="X43" s="6"/>
      <c r="Y43" s="66">
        <v>29</v>
      </c>
      <c r="Z43" s="50">
        <f t="shared" si="8"/>
        <v>127859.84124999998</v>
      </c>
      <c r="AA43" s="51">
        <f t="shared" si="9"/>
        <v>146125.53285714283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45595</v>
      </c>
      <c r="B44" s="58">
        <f t="shared" si="0"/>
        <v>30</v>
      </c>
      <c r="C44" s="40">
        <f t="shared" si="1"/>
        <v>4</v>
      </c>
      <c r="D44" s="73">
        <v>20092.22</v>
      </c>
      <c r="E44" s="42">
        <f t="shared" si="12"/>
        <v>1488296.04</v>
      </c>
      <c r="F44" s="60">
        <v>19</v>
      </c>
      <c r="G44" s="61">
        <v>10</v>
      </c>
      <c r="H44" s="26">
        <f t="shared" si="13"/>
        <v>45960</v>
      </c>
      <c r="I44" s="58">
        <f t="shared" si="2"/>
        <v>30</v>
      </c>
      <c r="J44" s="40">
        <f t="shared" si="3"/>
        <v>5</v>
      </c>
      <c r="K44" s="59">
        <v>20497</v>
      </c>
      <c r="L44" s="42">
        <f t="shared" si="14"/>
        <v>1043375.7299999999</v>
      </c>
      <c r="M44" s="60">
        <v>23</v>
      </c>
      <c r="N44" s="61">
        <v>16</v>
      </c>
      <c r="O44" s="5"/>
      <c r="P44" s="62">
        <f t="shared" si="4"/>
        <v>404.77999999999884</v>
      </c>
      <c r="Q44" s="63">
        <f t="shared" si="5"/>
        <v>2.0146106303833067E-2</v>
      </c>
      <c r="R44" s="64">
        <f t="shared" si="6"/>
        <v>-444920.31000000017</v>
      </c>
      <c r="S44" s="65">
        <f t="shared" si="7"/>
        <v>-0.29894610886688922</v>
      </c>
      <c r="T44" s="2"/>
      <c r="U44" s="2"/>
      <c r="V44" s="2"/>
      <c r="W44" s="5"/>
      <c r="X44" s="6"/>
      <c r="Y44" s="66">
        <v>30</v>
      </c>
      <c r="Z44" s="50">
        <f t="shared" si="8"/>
        <v>45364.162173913035</v>
      </c>
      <c r="AA44" s="51">
        <f t="shared" si="9"/>
        <v>65210.983124999992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45596</v>
      </c>
      <c r="B45" s="74">
        <f t="shared" si="0"/>
        <v>31</v>
      </c>
      <c r="C45" s="75">
        <f t="shared" si="1"/>
        <v>5</v>
      </c>
      <c r="D45" s="118">
        <v>18584.400000000001</v>
      </c>
      <c r="E45" s="77">
        <f t="shared" si="12"/>
        <v>1506880.44</v>
      </c>
      <c r="F45" s="78">
        <v>19</v>
      </c>
      <c r="G45" s="79">
        <v>15</v>
      </c>
      <c r="H45" s="26">
        <f t="shared" si="13"/>
        <v>45961</v>
      </c>
      <c r="I45" s="74">
        <f t="shared" si="2"/>
        <v>31</v>
      </c>
      <c r="J45" s="40">
        <f t="shared" si="3"/>
        <v>6</v>
      </c>
      <c r="K45" s="76">
        <v>25577.86</v>
      </c>
      <c r="L45" s="77">
        <f t="shared" si="14"/>
        <v>1068953.5899999999</v>
      </c>
      <c r="M45" s="78">
        <v>20</v>
      </c>
      <c r="N45" s="79">
        <v>18</v>
      </c>
      <c r="O45" s="5"/>
      <c r="P45" s="80">
        <f t="shared" si="4"/>
        <v>6993.4599999999991</v>
      </c>
      <c r="Q45" s="81">
        <f t="shared" si="5"/>
        <v>0.37630808635199409</v>
      </c>
      <c r="R45" s="82">
        <f t="shared" si="6"/>
        <v>-437926.85000000009</v>
      </c>
      <c r="S45" s="83">
        <f t="shared" si="7"/>
        <v>-0.29061817936929368</v>
      </c>
      <c r="T45" s="2"/>
      <c r="U45" s="2"/>
      <c r="V45" s="2"/>
      <c r="W45" s="5"/>
      <c r="X45" s="6"/>
      <c r="Y45" s="84">
        <v>31</v>
      </c>
      <c r="Z45" s="50">
        <f t="shared" si="8"/>
        <v>53447.679499999991</v>
      </c>
      <c r="AA45" s="51">
        <f t="shared" si="9"/>
        <v>59386.310555555545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1343</v>
      </c>
      <c r="G46" s="89">
        <f t="shared" si="45"/>
        <v>863</v>
      </c>
      <c r="H46" s="2"/>
      <c r="I46" s="2"/>
      <c r="J46" s="2"/>
      <c r="K46" s="2" t="s">
        <v>57</v>
      </c>
      <c r="L46" s="2"/>
      <c r="M46" s="89">
        <f t="shared" ref="M46:N46" si="46">SUM(M15:M45)</f>
        <v>1062</v>
      </c>
      <c r="N46" s="89">
        <f t="shared" si="46"/>
        <v>684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1562.7976461988301</v>
      </c>
      <c r="AA46" s="92">
        <f>IFERROR(M46/N46,0)</f>
        <v>1.5526315789473684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1506880.44</v>
      </c>
      <c r="F47" s="97"/>
      <c r="G47" s="97"/>
      <c r="H47" s="98"/>
      <c r="I47" s="129" t="s">
        <v>40</v>
      </c>
      <c r="J47" s="130"/>
      <c r="K47" s="96">
        <f>SUM(K15:K45)</f>
        <v>1068953.5899999999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1747981.3103999998</v>
      </c>
      <c r="F48" s="97"/>
      <c r="G48" s="97"/>
      <c r="H48" s="104"/>
      <c r="I48" s="129" t="s">
        <v>43</v>
      </c>
      <c r="J48" s="130"/>
      <c r="K48" s="103">
        <f>K47*1.16</f>
        <v>1239986.1643999997</v>
      </c>
      <c r="L48" s="105" t="s">
        <v>44</v>
      </c>
      <c r="M48" s="106"/>
      <c r="N48" s="106"/>
      <c r="O48" s="106"/>
      <c r="P48" s="106"/>
      <c r="Q48" s="106"/>
      <c r="R48" s="107">
        <f>K47-E47</f>
        <v>-437926.85000000009</v>
      </c>
      <c r="S48" s="108">
        <f>IFERROR(+K47/E47-1,0)</f>
        <v>-0.29061817936929368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65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-1068953.5899999999</v>
      </c>
      <c r="BN49" s="113">
        <f t="shared" ref="BN49:BO49" si="48">+BN46-M46</f>
        <v>-1062</v>
      </c>
      <c r="BO49" s="114">
        <f t="shared" si="48"/>
        <v>-684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17" priority="1" operator="lessThan">
      <formula>0</formula>
    </cfRule>
  </conditionalFormatting>
  <conditionalFormatting sqref="E47:G48 K47:K48">
    <cfRule type="cellIs" dxfId="16" priority="2" operator="lessThan">
      <formula>0</formula>
    </cfRule>
  </conditionalFormatting>
  <conditionalFormatting sqref="K15:L45">
    <cfRule type="cellIs" dxfId="15" priority="3" operator="lessThan">
      <formula>0</formula>
    </cfRule>
  </conditionalFormatting>
  <conditionalFormatting sqref="P15:S45">
    <cfRule type="cellIs" dxfId="14" priority="4" operator="lessThan">
      <formula>0</formula>
    </cfRule>
  </conditionalFormatting>
  <conditionalFormatting sqref="R48:S48">
    <cfRule type="cellIs" dxfId="13" priority="5" operator="lessThan">
      <formula>0</formula>
    </cfRule>
  </conditionalFormatting>
  <conditionalFormatting sqref="V8">
    <cfRule type="expression" dxfId="12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9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9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9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900-000003000000}">
          <x14:formula1>
            <xm:f>DTA!$I$4:$I$18</xm:f>
          </x14:formula1>
          <xm:sqref>D8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2024</v>
      </c>
      <c r="D1" s="3">
        <f>VLOOKUP(D3,DTA!$B$3:$C$15,2,FALSE)</f>
        <v>11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2024</v>
      </c>
      <c r="D3" s="11" t="s">
        <v>62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2025</v>
      </c>
      <c r="R8" s="11" t="s">
        <v>62</v>
      </c>
      <c r="S8" s="11">
        <v>1</v>
      </c>
      <c r="T8" s="2"/>
      <c r="U8" s="138"/>
      <c r="V8" s="16">
        <v>1949563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2025</v>
      </c>
      <c r="R10" s="18">
        <f>VLOOKUP(R8,DTA!$B$3:$C$15,2,FALSE)</f>
        <v>11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10</v>
      </c>
      <c r="C13" s="147"/>
      <c r="D13" s="147"/>
      <c r="E13" s="147"/>
      <c r="F13" s="147"/>
      <c r="G13" s="148"/>
      <c r="H13" s="5"/>
      <c r="I13" s="149" t="s">
        <v>11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0.88064923780354898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45597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45962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45597</v>
      </c>
      <c r="B15" s="39">
        <f t="shared" ref="B15:B45" si="0">+DAY(A15)</f>
        <v>1</v>
      </c>
      <c r="C15" s="40">
        <f t="shared" ref="C15:C45" si="1">+WEEKDAY(A15)</f>
        <v>6</v>
      </c>
      <c r="D15" s="117">
        <v>43068.99</v>
      </c>
      <c r="E15" s="42">
        <f>D15</f>
        <v>43068.99</v>
      </c>
      <c r="F15" s="43">
        <v>42</v>
      </c>
      <c r="G15" s="44">
        <v>27</v>
      </c>
      <c r="H15" s="26">
        <f>H14</f>
        <v>45962</v>
      </c>
      <c r="I15" s="39">
        <f t="shared" ref="I15:I45" si="2">+DAY(H15)</f>
        <v>1</v>
      </c>
      <c r="J15" s="40">
        <f t="shared" ref="J15:J45" si="3">+WEEKDAY(H15)</f>
        <v>7</v>
      </c>
      <c r="K15" s="41">
        <v>33958.769999999997</v>
      </c>
      <c r="L15" s="42">
        <f>K15</f>
        <v>33958.769999999997</v>
      </c>
      <c r="M15" s="43">
        <v>28</v>
      </c>
      <c r="N15" s="44">
        <v>19</v>
      </c>
      <c r="O15" s="5"/>
      <c r="P15" s="45">
        <f t="shared" ref="P15:P45" si="4">IF(NOT(ISBLANK(K15)),SUM(K15-D15),"")</f>
        <v>-9110.2200000000012</v>
      </c>
      <c r="Q15" s="46">
        <f t="shared" ref="Q15:Q45" si="5">IF(NOT(ISBLANK(K15)),IFERROR(((K15/D15)-1)," ")," ")</f>
        <v>-0.21152620481696927</v>
      </c>
      <c r="R15" s="47">
        <f t="shared" ref="R15:R45" si="6">IF(NOT(ISBLANK(K15)),SUM(L15-E15),"")</f>
        <v>-9110.2200000000012</v>
      </c>
      <c r="S15" s="48">
        <f t="shared" ref="S15:S45" si="7">IFERROR(((L15/E15)-1),"")</f>
        <v>-0.21152620481696927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1212.8132142857141</v>
      </c>
      <c r="AA15" s="51">
        <f t="shared" ref="AA15:AA45" si="9">IFERROR((L15/N15)," ")</f>
        <v>1787.3036842105262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45598</v>
      </c>
      <c r="B16" s="58">
        <f t="shared" si="0"/>
        <v>2</v>
      </c>
      <c r="C16" s="40">
        <f t="shared" si="1"/>
        <v>7</v>
      </c>
      <c r="D16" s="73">
        <v>66755.8</v>
      </c>
      <c r="E16" s="42">
        <f t="shared" ref="E16:E45" si="12">IF(NOT(ISBLANK(D16)),SUM(E15+D16),"")</f>
        <v>109824.79000000001</v>
      </c>
      <c r="F16" s="60">
        <v>57</v>
      </c>
      <c r="G16" s="61">
        <v>37</v>
      </c>
      <c r="H16" s="26">
        <f t="shared" ref="H16:H45" si="13">H15+1</f>
        <v>45963</v>
      </c>
      <c r="I16" s="58">
        <f t="shared" si="2"/>
        <v>2</v>
      </c>
      <c r="J16" s="40">
        <f t="shared" si="3"/>
        <v>1</v>
      </c>
      <c r="K16" s="59">
        <v>64549.54</v>
      </c>
      <c r="L16" s="42">
        <f t="shared" ref="L16:L45" si="14">IF(NOT(ISBLANK(K16)),SUM(L15+K16),"")</f>
        <v>98508.31</v>
      </c>
      <c r="M16" s="60">
        <v>53</v>
      </c>
      <c r="N16" s="61">
        <v>30</v>
      </c>
      <c r="O16" s="5"/>
      <c r="P16" s="62">
        <f t="shared" si="4"/>
        <v>-2206.260000000002</v>
      </c>
      <c r="Q16" s="63">
        <f t="shared" si="5"/>
        <v>-3.3049712534341635E-2</v>
      </c>
      <c r="R16" s="64">
        <f t="shared" si="6"/>
        <v>-11316.48000000001</v>
      </c>
      <c r="S16" s="65">
        <f t="shared" si="7"/>
        <v>-0.10304121683273881</v>
      </c>
      <c r="T16" s="2"/>
      <c r="U16" s="2"/>
      <c r="V16" s="2"/>
      <c r="W16" s="5"/>
      <c r="X16" s="6"/>
      <c r="Y16" s="66">
        <v>2</v>
      </c>
      <c r="Z16" s="50">
        <f t="shared" si="8"/>
        <v>1858.6473584905659</v>
      </c>
      <c r="AA16" s="51">
        <f t="shared" si="9"/>
        <v>3283.6103333333331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45599</v>
      </c>
      <c r="B17" s="58">
        <f t="shared" si="0"/>
        <v>3</v>
      </c>
      <c r="C17" s="40">
        <f t="shared" si="1"/>
        <v>1</v>
      </c>
      <c r="D17" s="73">
        <v>93399.26</v>
      </c>
      <c r="E17" s="42">
        <f t="shared" si="12"/>
        <v>203224.05</v>
      </c>
      <c r="F17" s="60">
        <v>81</v>
      </c>
      <c r="G17" s="61">
        <v>49</v>
      </c>
      <c r="H17" s="26">
        <f t="shared" si="13"/>
        <v>45964</v>
      </c>
      <c r="I17" s="58">
        <f t="shared" si="2"/>
        <v>3</v>
      </c>
      <c r="J17" s="40">
        <f t="shared" si="3"/>
        <v>2</v>
      </c>
      <c r="K17" s="59">
        <v>17614.669999999998</v>
      </c>
      <c r="L17" s="42">
        <f t="shared" si="14"/>
        <v>116122.98</v>
      </c>
      <c r="M17" s="60">
        <v>17</v>
      </c>
      <c r="N17" s="61">
        <v>13</v>
      </c>
      <c r="O17" s="5"/>
      <c r="P17" s="62">
        <f t="shared" si="4"/>
        <v>-75784.59</v>
      </c>
      <c r="Q17" s="63">
        <f t="shared" si="5"/>
        <v>-0.81140460855899721</v>
      </c>
      <c r="R17" s="64">
        <f t="shared" si="6"/>
        <v>-87101.069999999992</v>
      </c>
      <c r="S17" s="65">
        <f t="shared" si="7"/>
        <v>-0.42859627096300856</v>
      </c>
      <c r="T17" s="2"/>
      <c r="U17" s="2"/>
      <c r="V17" s="2"/>
      <c r="W17" s="5"/>
      <c r="X17" s="6"/>
      <c r="Y17" s="66">
        <v>3</v>
      </c>
      <c r="Z17" s="50">
        <f t="shared" si="8"/>
        <v>6830.7635294117645</v>
      </c>
      <c r="AA17" s="51">
        <f t="shared" si="9"/>
        <v>8932.5369230769229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45600</v>
      </c>
      <c r="B18" s="58">
        <f t="shared" si="0"/>
        <v>4</v>
      </c>
      <c r="C18" s="40">
        <f t="shared" si="1"/>
        <v>2</v>
      </c>
      <c r="D18" s="73">
        <v>29073.1</v>
      </c>
      <c r="E18" s="42">
        <f t="shared" si="12"/>
        <v>232297.15</v>
      </c>
      <c r="F18" s="60">
        <v>27</v>
      </c>
      <c r="G18" s="61">
        <v>15</v>
      </c>
      <c r="H18" s="26">
        <f t="shared" si="13"/>
        <v>45965</v>
      </c>
      <c r="I18" s="58">
        <f t="shared" si="2"/>
        <v>4</v>
      </c>
      <c r="J18" s="40">
        <f t="shared" si="3"/>
        <v>3</v>
      </c>
      <c r="K18" s="59">
        <v>32698.3</v>
      </c>
      <c r="L18" s="42">
        <f t="shared" si="14"/>
        <v>148821.28</v>
      </c>
      <c r="M18" s="60">
        <v>30</v>
      </c>
      <c r="N18" s="61">
        <v>19</v>
      </c>
      <c r="O18" s="5"/>
      <c r="P18" s="62">
        <f t="shared" si="4"/>
        <v>3625.2000000000007</v>
      </c>
      <c r="Q18" s="63">
        <f t="shared" si="5"/>
        <v>0.12469258524202798</v>
      </c>
      <c r="R18" s="64">
        <f t="shared" si="6"/>
        <v>-83475.87</v>
      </c>
      <c r="S18" s="65">
        <f t="shared" si="7"/>
        <v>-0.35934952279870847</v>
      </c>
      <c r="T18" s="2"/>
      <c r="U18" s="2"/>
      <c r="V18" s="2"/>
      <c r="W18" s="5"/>
      <c r="X18" s="6"/>
      <c r="Y18" s="66">
        <v>4</v>
      </c>
      <c r="Z18" s="50">
        <f t="shared" si="8"/>
        <v>4960.7093333333332</v>
      </c>
      <c r="AA18" s="51">
        <f t="shared" si="9"/>
        <v>7832.6989473684207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45601</v>
      </c>
      <c r="B19" s="58">
        <f t="shared" si="0"/>
        <v>5</v>
      </c>
      <c r="C19" s="40">
        <f t="shared" si="1"/>
        <v>3</v>
      </c>
      <c r="D19" s="73">
        <v>24181.919999999998</v>
      </c>
      <c r="E19" s="42">
        <f t="shared" si="12"/>
        <v>256479.07</v>
      </c>
      <c r="F19" s="60">
        <v>26</v>
      </c>
      <c r="G19" s="61">
        <v>15</v>
      </c>
      <c r="H19" s="26">
        <f t="shared" si="13"/>
        <v>45966</v>
      </c>
      <c r="I19" s="58">
        <f t="shared" si="2"/>
        <v>5</v>
      </c>
      <c r="J19" s="40">
        <f t="shared" si="3"/>
        <v>4</v>
      </c>
      <c r="K19" s="59">
        <v>22118.959999999999</v>
      </c>
      <c r="L19" s="42">
        <f t="shared" si="14"/>
        <v>170940.24</v>
      </c>
      <c r="M19" s="60">
        <v>22</v>
      </c>
      <c r="N19" s="61">
        <v>11</v>
      </c>
      <c r="O19" s="5"/>
      <c r="P19" s="62">
        <f t="shared" si="4"/>
        <v>-2062.9599999999991</v>
      </c>
      <c r="Q19" s="63">
        <f t="shared" si="5"/>
        <v>-8.5310016739779115E-2</v>
      </c>
      <c r="R19" s="64">
        <f t="shared" si="6"/>
        <v>-85538.830000000016</v>
      </c>
      <c r="S19" s="65">
        <f t="shared" si="7"/>
        <v>-0.33351193140243374</v>
      </c>
      <c r="T19" s="2"/>
      <c r="U19" s="2"/>
      <c r="V19" s="2"/>
      <c r="W19" s="5"/>
      <c r="X19" s="6"/>
      <c r="Y19" s="66">
        <v>5</v>
      </c>
      <c r="Z19" s="50">
        <f t="shared" si="8"/>
        <v>7770.0109090909091</v>
      </c>
      <c r="AA19" s="51">
        <f t="shared" si="9"/>
        <v>15540.021818181818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45602</v>
      </c>
      <c r="B20" s="58">
        <f t="shared" si="0"/>
        <v>6</v>
      </c>
      <c r="C20" s="40">
        <f t="shared" si="1"/>
        <v>4</v>
      </c>
      <c r="D20" s="73">
        <v>56900.44</v>
      </c>
      <c r="E20" s="42">
        <f t="shared" si="12"/>
        <v>313379.51</v>
      </c>
      <c r="F20" s="60">
        <v>51</v>
      </c>
      <c r="G20" s="61">
        <v>28</v>
      </c>
      <c r="H20" s="26">
        <f t="shared" si="13"/>
        <v>45967</v>
      </c>
      <c r="I20" s="58">
        <f t="shared" si="2"/>
        <v>6</v>
      </c>
      <c r="J20" s="40">
        <f t="shared" si="3"/>
        <v>5</v>
      </c>
      <c r="K20" s="59">
        <v>97509.29</v>
      </c>
      <c r="L20" s="42">
        <f t="shared" si="14"/>
        <v>268449.52999999997</v>
      </c>
      <c r="M20" s="60">
        <v>54</v>
      </c>
      <c r="N20" s="61">
        <v>20</v>
      </c>
      <c r="O20" s="5"/>
      <c r="P20" s="62">
        <f t="shared" si="4"/>
        <v>40608.849999999991</v>
      </c>
      <c r="Q20" s="63">
        <f t="shared" si="5"/>
        <v>0.71368253039871021</v>
      </c>
      <c r="R20" s="64">
        <f t="shared" si="6"/>
        <v>-44929.98000000004</v>
      </c>
      <c r="S20" s="65">
        <f t="shared" si="7"/>
        <v>-0.14337242406180306</v>
      </c>
      <c r="T20" s="2"/>
      <c r="U20" s="2"/>
      <c r="V20" s="2"/>
      <c r="W20" s="5"/>
      <c r="X20" s="6"/>
      <c r="Y20" s="66">
        <v>6</v>
      </c>
      <c r="Z20" s="50">
        <f t="shared" si="8"/>
        <v>4971.2875925925919</v>
      </c>
      <c r="AA20" s="51">
        <f t="shared" si="9"/>
        <v>13422.476499999999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45603</v>
      </c>
      <c r="B21" s="58">
        <f t="shared" si="0"/>
        <v>7</v>
      </c>
      <c r="C21" s="40">
        <f t="shared" si="1"/>
        <v>5</v>
      </c>
      <c r="D21" s="73">
        <v>30823.71</v>
      </c>
      <c r="E21" s="42">
        <f t="shared" si="12"/>
        <v>344203.22000000003</v>
      </c>
      <c r="F21" s="60">
        <v>26</v>
      </c>
      <c r="G21" s="61">
        <v>17</v>
      </c>
      <c r="H21" s="26">
        <f t="shared" si="13"/>
        <v>45968</v>
      </c>
      <c r="I21" s="58">
        <f t="shared" si="2"/>
        <v>7</v>
      </c>
      <c r="J21" s="40">
        <f t="shared" si="3"/>
        <v>6</v>
      </c>
      <c r="K21" s="59">
        <v>30106.02</v>
      </c>
      <c r="L21" s="42">
        <f t="shared" si="14"/>
        <v>298555.55</v>
      </c>
      <c r="M21" s="60">
        <v>27</v>
      </c>
      <c r="N21" s="61">
        <v>18</v>
      </c>
      <c r="O21" s="5"/>
      <c r="P21" s="62">
        <f t="shared" si="4"/>
        <v>-717.68999999999869</v>
      </c>
      <c r="Q21" s="63">
        <f t="shared" si="5"/>
        <v>-2.3283699463821805E-2</v>
      </c>
      <c r="R21" s="64">
        <f t="shared" si="6"/>
        <v>-45647.670000000042</v>
      </c>
      <c r="S21" s="65">
        <f t="shared" si="7"/>
        <v>-0.13261837004313914</v>
      </c>
      <c r="T21" s="2"/>
      <c r="U21" s="2"/>
      <c r="V21" s="2"/>
      <c r="W21" s="5"/>
      <c r="X21" s="6"/>
      <c r="Y21" s="66">
        <v>7</v>
      </c>
      <c r="Z21" s="50">
        <f t="shared" si="8"/>
        <v>11057.612962962963</v>
      </c>
      <c r="AA21" s="51">
        <f t="shared" si="9"/>
        <v>16586.419444444444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45604</v>
      </c>
      <c r="B22" s="58">
        <f t="shared" si="0"/>
        <v>8</v>
      </c>
      <c r="C22" s="40">
        <f t="shared" si="1"/>
        <v>6</v>
      </c>
      <c r="D22" s="73">
        <v>41126</v>
      </c>
      <c r="E22" s="42">
        <f t="shared" si="12"/>
        <v>385329.22000000003</v>
      </c>
      <c r="F22" s="60">
        <v>32</v>
      </c>
      <c r="G22" s="61">
        <v>21</v>
      </c>
      <c r="H22" s="26">
        <f t="shared" si="13"/>
        <v>45969</v>
      </c>
      <c r="I22" s="58">
        <f t="shared" si="2"/>
        <v>8</v>
      </c>
      <c r="J22" s="40">
        <f t="shared" si="3"/>
        <v>7</v>
      </c>
      <c r="K22" s="59">
        <v>71725.240000000005</v>
      </c>
      <c r="L22" s="42">
        <f t="shared" si="14"/>
        <v>370280.79</v>
      </c>
      <c r="M22" s="60">
        <v>56</v>
      </c>
      <c r="N22" s="61">
        <v>40</v>
      </c>
      <c r="O22" s="5"/>
      <c r="P22" s="62">
        <f t="shared" si="4"/>
        <v>30599.240000000005</v>
      </c>
      <c r="Q22" s="63">
        <f t="shared" si="5"/>
        <v>0.74403637601517292</v>
      </c>
      <c r="R22" s="64">
        <f t="shared" si="6"/>
        <v>-15048.430000000051</v>
      </c>
      <c r="S22" s="65">
        <f t="shared" si="7"/>
        <v>-3.9053435916435397E-2</v>
      </c>
      <c r="T22" s="2"/>
      <c r="U22" s="2"/>
      <c r="V22" s="2"/>
      <c r="W22" s="5"/>
      <c r="X22" s="6"/>
      <c r="Y22" s="66">
        <v>8</v>
      </c>
      <c r="Z22" s="50">
        <f t="shared" si="8"/>
        <v>6612.1569642857139</v>
      </c>
      <c r="AA22" s="51">
        <f t="shared" si="9"/>
        <v>9257.0197499999995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45605</v>
      </c>
      <c r="B23" s="58">
        <f t="shared" si="0"/>
        <v>9</v>
      </c>
      <c r="C23" s="40">
        <f t="shared" si="1"/>
        <v>7</v>
      </c>
      <c r="D23" s="73">
        <v>52233.65</v>
      </c>
      <c r="E23" s="42">
        <f t="shared" si="12"/>
        <v>437562.87000000005</v>
      </c>
      <c r="F23" s="60">
        <v>39</v>
      </c>
      <c r="G23" s="61">
        <v>24</v>
      </c>
      <c r="H23" s="26">
        <f t="shared" si="13"/>
        <v>45970</v>
      </c>
      <c r="I23" s="58">
        <f t="shared" si="2"/>
        <v>9</v>
      </c>
      <c r="J23" s="40">
        <f t="shared" si="3"/>
        <v>1</v>
      </c>
      <c r="K23" s="59">
        <v>78916.11</v>
      </c>
      <c r="L23" s="42">
        <f t="shared" si="14"/>
        <v>449196.89999999997</v>
      </c>
      <c r="M23" s="60">
        <v>68</v>
      </c>
      <c r="N23" s="61">
        <v>41</v>
      </c>
      <c r="O23" s="5"/>
      <c r="P23" s="62">
        <f t="shared" si="4"/>
        <v>26682.46</v>
      </c>
      <c r="Q23" s="63">
        <f t="shared" si="5"/>
        <v>0.51082893881626124</v>
      </c>
      <c r="R23" s="64">
        <f t="shared" si="6"/>
        <v>11634.029999999912</v>
      </c>
      <c r="S23" s="65">
        <f t="shared" si="7"/>
        <v>2.6588247764258277E-2</v>
      </c>
      <c r="T23" s="2"/>
      <c r="U23" s="2"/>
      <c r="V23" s="2"/>
      <c r="W23" s="5"/>
      <c r="X23" s="6"/>
      <c r="Y23" s="66">
        <v>9</v>
      </c>
      <c r="Z23" s="50">
        <f t="shared" si="8"/>
        <v>6605.8367647058822</v>
      </c>
      <c r="AA23" s="51">
        <f t="shared" si="9"/>
        <v>10956.021951219511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45606</v>
      </c>
      <c r="B24" s="58">
        <f t="shared" si="0"/>
        <v>10</v>
      </c>
      <c r="C24" s="40">
        <f t="shared" si="1"/>
        <v>1</v>
      </c>
      <c r="D24" s="73">
        <v>99086.81</v>
      </c>
      <c r="E24" s="42">
        <f t="shared" si="12"/>
        <v>536649.68000000005</v>
      </c>
      <c r="F24" s="60">
        <v>92</v>
      </c>
      <c r="G24" s="61">
        <v>50</v>
      </c>
      <c r="H24" s="26">
        <f t="shared" si="13"/>
        <v>45971</v>
      </c>
      <c r="I24" s="58">
        <f t="shared" si="2"/>
        <v>10</v>
      </c>
      <c r="J24" s="40">
        <f t="shared" si="3"/>
        <v>2</v>
      </c>
      <c r="K24" s="59">
        <v>29320.46</v>
      </c>
      <c r="L24" s="42">
        <f t="shared" si="14"/>
        <v>478517.36</v>
      </c>
      <c r="M24" s="60">
        <v>20</v>
      </c>
      <c r="N24" s="61">
        <v>15</v>
      </c>
      <c r="O24" s="5"/>
      <c r="P24" s="62">
        <f t="shared" si="4"/>
        <v>-69766.350000000006</v>
      </c>
      <c r="Q24" s="63">
        <f t="shared" si="5"/>
        <v>-0.70409320877319592</v>
      </c>
      <c r="R24" s="64">
        <f t="shared" si="6"/>
        <v>-58132.320000000065</v>
      </c>
      <c r="S24" s="65">
        <f t="shared" si="7"/>
        <v>-0.10832452187430741</v>
      </c>
      <c r="T24" s="2"/>
      <c r="U24" s="2"/>
      <c r="V24" s="2"/>
      <c r="W24" s="5"/>
      <c r="X24" s="6"/>
      <c r="Y24" s="66">
        <v>10</v>
      </c>
      <c r="Z24" s="50">
        <f t="shared" si="8"/>
        <v>23925.867999999999</v>
      </c>
      <c r="AA24" s="51">
        <f t="shared" si="9"/>
        <v>31901.157333333333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45607</v>
      </c>
      <c r="B25" s="58">
        <f t="shared" si="0"/>
        <v>11</v>
      </c>
      <c r="C25" s="40">
        <f t="shared" si="1"/>
        <v>2</v>
      </c>
      <c r="D25" s="73">
        <v>34121.57</v>
      </c>
      <c r="E25" s="42">
        <f t="shared" si="12"/>
        <v>570771.25</v>
      </c>
      <c r="F25" s="60">
        <v>29</v>
      </c>
      <c r="G25" s="61">
        <v>19</v>
      </c>
      <c r="H25" s="26">
        <f t="shared" si="13"/>
        <v>45972</v>
      </c>
      <c r="I25" s="58">
        <f t="shared" si="2"/>
        <v>11</v>
      </c>
      <c r="J25" s="40">
        <f t="shared" si="3"/>
        <v>3</v>
      </c>
      <c r="K25" s="59">
        <v>24264.68</v>
      </c>
      <c r="L25" s="42">
        <f t="shared" si="14"/>
        <v>502782.04</v>
      </c>
      <c r="M25" s="60">
        <v>25</v>
      </c>
      <c r="N25" s="61">
        <v>14</v>
      </c>
      <c r="O25" s="5"/>
      <c r="P25" s="62">
        <f t="shared" si="4"/>
        <v>-9856.89</v>
      </c>
      <c r="Q25" s="63">
        <f t="shared" si="5"/>
        <v>-0.28887562911085274</v>
      </c>
      <c r="R25" s="64">
        <f t="shared" si="6"/>
        <v>-67989.210000000021</v>
      </c>
      <c r="S25" s="65">
        <f t="shared" si="7"/>
        <v>-0.11911814058609294</v>
      </c>
      <c r="T25" s="2"/>
      <c r="U25" s="2"/>
      <c r="V25" s="2"/>
      <c r="W25" s="5"/>
      <c r="X25" s="6"/>
      <c r="Y25" s="66">
        <v>11</v>
      </c>
      <c r="Z25" s="50">
        <f t="shared" si="8"/>
        <v>20111.281599999998</v>
      </c>
      <c r="AA25" s="51">
        <f t="shared" si="9"/>
        <v>35913.002857142856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45608</v>
      </c>
      <c r="B26" s="58">
        <f t="shared" si="0"/>
        <v>12</v>
      </c>
      <c r="C26" s="40">
        <f t="shared" si="1"/>
        <v>3</v>
      </c>
      <c r="D26" s="73">
        <v>15117.26</v>
      </c>
      <c r="E26" s="42">
        <f t="shared" si="12"/>
        <v>585888.51</v>
      </c>
      <c r="F26" s="60">
        <v>15</v>
      </c>
      <c r="G26" s="61">
        <v>9</v>
      </c>
      <c r="H26" s="26">
        <f t="shared" si="13"/>
        <v>45973</v>
      </c>
      <c r="I26" s="58">
        <f t="shared" si="2"/>
        <v>12</v>
      </c>
      <c r="J26" s="40">
        <f t="shared" si="3"/>
        <v>4</v>
      </c>
      <c r="K26" s="59">
        <v>34855.29</v>
      </c>
      <c r="L26" s="42">
        <f t="shared" si="14"/>
        <v>537637.32999999996</v>
      </c>
      <c r="M26" s="60">
        <v>31</v>
      </c>
      <c r="N26" s="61">
        <v>26</v>
      </c>
      <c r="O26" s="5"/>
      <c r="P26" s="62">
        <f t="shared" si="4"/>
        <v>19738.03</v>
      </c>
      <c r="Q26" s="63">
        <f t="shared" si="5"/>
        <v>1.305661872588022</v>
      </c>
      <c r="R26" s="64">
        <f t="shared" si="6"/>
        <v>-48251.180000000051</v>
      </c>
      <c r="S26" s="65">
        <f t="shared" si="7"/>
        <v>-8.2355566249285306E-2</v>
      </c>
      <c r="T26" s="2"/>
      <c r="U26" s="2"/>
      <c r="V26" s="2"/>
      <c r="W26" s="5"/>
      <c r="X26" s="6"/>
      <c r="Y26" s="66">
        <v>12</v>
      </c>
      <c r="Z26" s="50">
        <f t="shared" si="8"/>
        <v>17343.139677419353</v>
      </c>
      <c r="AA26" s="51">
        <f t="shared" si="9"/>
        <v>20678.358846153846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45609</v>
      </c>
      <c r="B27" s="58">
        <f t="shared" si="0"/>
        <v>13</v>
      </c>
      <c r="C27" s="40">
        <f t="shared" si="1"/>
        <v>4</v>
      </c>
      <c r="D27" s="73">
        <v>35662.94</v>
      </c>
      <c r="E27" s="42">
        <f t="shared" si="12"/>
        <v>621551.44999999995</v>
      </c>
      <c r="F27" s="60">
        <v>33</v>
      </c>
      <c r="G27" s="61">
        <v>20</v>
      </c>
      <c r="H27" s="26">
        <f t="shared" si="13"/>
        <v>45974</v>
      </c>
      <c r="I27" s="58">
        <f t="shared" si="2"/>
        <v>13</v>
      </c>
      <c r="J27" s="40">
        <f t="shared" si="3"/>
        <v>5</v>
      </c>
      <c r="K27" s="59">
        <f>8352.75+63260.69</f>
        <v>71613.440000000002</v>
      </c>
      <c r="L27" s="42">
        <f t="shared" si="14"/>
        <v>609250.77</v>
      </c>
      <c r="M27" s="60">
        <v>82</v>
      </c>
      <c r="N27" s="61">
        <v>52</v>
      </c>
      <c r="O27" s="5"/>
      <c r="P27" s="62">
        <f t="shared" si="4"/>
        <v>35950.5</v>
      </c>
      <c r="Q27" s="63">
        <f t="shared" si="5"/>
        <v>1.0080632724054719</v>
      </c>
      <c r="R27" s="64">
        <f t="shared" si="6"/>
        <v>-12300.679999999935</v>
      </c>
      <c r="S27" s="65">
        <f t="shared" si="7"/>
        <v>-1.9790284456741136E-2</v>
      </c>
      <c r="T27" s="2"/>
      <c r="U27" s="2"/>
      <c r="V27" s="2"/>
      <c r="W27" s="5"/>
      <c r="X27" s="6"/>
      <c r="Y27" s="66">
        <v>13</v>
      </c>
      <c r="Z27" s="50">
        <f t="shared" si="8"/>
        <v>7429.8874390243909</v>
      </c>
      <c r="AA27" s="51">
        <f t="shared" si="9"/>
        <v>11716.360961538461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45610</v>
      </c>
      <c r="B28" s="58">
        <f t="shared" si="0"/>
        <v>14</v>
      </c>
      <c r="C28" s="40">
        <f t="shared" si="1"/>
        <v>5</v>
      </c>
      <c r="D28" s="73">
        <v>39343.089999999997</v>
      </c>
      <c r="E28" s="42">
        <f t="shared" si="12"/>
        <v>660894.53999999992</v>
      </c>
      <c r="F28" s="60">
        <v>36</v>
      </c>
      <c r="G28" s="61">
        <v>22</v>
      </c>
      <c r="H28" s="26">
        <f t="shared" si="13"/>
        <v>45975</v>
      </c>
      <c r="I28" s="58">
        <f t="shared" si="2"/>
        <v>14</v>
      </c>
      <c r="J28" s="40">
        <f t="shared" si="3"/>
        <v>6</v>
      </c>
      <c r="K28" s="59">
        <f>62138.8+649.5</f>
        <v>62788.3</v>
      </c>
      <c r="L28" s="42">
        <f t="shared" si="14"/>
        <v>672039.07000000007</v>
      </c>
      <c r="M28" s="60">
        <v>82</v>
      </c>
      <c r="N28" s="61">
        <v>45</v>
      </c>
      <c r="O28" s="5"/>
      <c r="P28" s="62">
        <f t="shared" si="4"/>
        <v>23445.210000000006</v>
      </c>
      <c r="Q28" s="63">
        <f t="shared" si="5"/>
        <v>0.59591684333894479</v>
      </c>
      <c r="R28" s="64">
        <f t="shared" si="6"/>
        <v>11144.530000000144</v>
      </c>
      <c r="S28" s="65">
        <f t="shared" si="7"/>
        <v>1.686279629424714E-2</v>
      </c>
      <c r="T28" s="2"/>
      <c r="U28" s="2"/>
      <c r="V28" s="2"/>
      <c r="W28" s="5"/>
      <c r="X28" s="6"/>
      <c r="Y28" s="66">
        <v>14</v>
      </c>
      <c r="Z28" s="50">
        <f t="shared" si="8"/>
        <v>8195.598414634147</v>
      </c>
      <c r="AA28" s="51">
        <f t="shared" si="9"/>
        <v>14934.201555555557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45611</v>
      </c>
      <c r="B29" s="58">
        <f t="shared" si="0"/>
        <v>15</v>
      </c>
      <c r="C29" s="40">
        <f t="shared" si="1"/>
        <v>6</v>
      </c>
      <c r="D29" s="73">
        <v>96333.28</v>
      </c>
      <c r="E29" s="42">
        <f t="shared" si="12"/>
        <v>757227.82</v>
      </c>
      <c r="F29" s="60">
        <v>92</v>
      </c>
      <c r="G29" s="61">
        <v>48</v>
      </c>
      <c r="H29" s="26">
        <f t="shared" si="13"/>
        <v>45976</v>
      </c>
      <c r="I29" s="58">
        <f t="shared" si="2"/>
        <v>15</v>
      </c>
      <c r="J29" s="40">
        <f t="shared" si="3"/>
        <v>7</v>
      </c>
      <c r="K29" s="59">
        <v>165079.57</v>
      </c>
      <c r="L29" s="42">
        <f t="shared" si="14"/>
        <v>837118.64000000013</v>
      </c>
      <c r="M29" s="60">
        <v>199</v>
      </c>
      <c r="N29" s="61">
        <v>105</v>
      </c>
      <c r="O29" s="5"/>
      <c r="P29" s="62">
        <f t="shared" si="4"/>
        <v>68746.290000000008</v>
      </c>
      <c r="Q29" s="63">
        <f t="shared" si="5"/>
        <v>0.71362970304758666</v>
      </c>
      <c r="R29" s="64">
        <f t="shared" si="6"/>
        <v>79890.820000000182</v>
      </c>
      <c r="S29" s="65">
        <f t="shared" si="7"/>
        <v>0.10550433817922888</v>
      </c>
      <c r="T29" s="2"/>
      <c r="U29" s="2"/>
      <c r="V29" s="2"/>
      <c r="W29" s="5"/>
      <c r="X29" s="6"/>
      <c r="Y29" s="66">
        <v>15</v>
      </c>
      <c r="Z29" s="50">
        <f t="shared" si="8"/>
        <v>4206.6263316582917</v>
      </c>
      <c r="AA29" s="51">
        <f t="shared" si="9"/>
        <v>7972.5584761904774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45612</v>
      </c>
      <c r="B30" s="58">
        <f t="shared" si="0"/>
        <v>16</v>
      </c>
      <c r="C30" s="40">
        <f t="shared" si="1"/>
        <v>7</v>
      </c>
      <c r="D30" s="73">
        <v>146007.28</v>
      </c>
      <c r="E30" s="42">
        <f t="shared" si="12"/>
        <v>903235.1</v>
      </c>
      <c r="F30" s="60">
        <v>143</v>
      </c>
      <c r="G30" s="61">
        <v>102</v>
      </c>
      <c r="H30" s="26">
        <f t="shared" si="13"/>
        <v>45977</v>
      </c>
      <c r="I30" s="58">
        <f t="shared" si="2"/>
        <v>16</v>
      </c>
      <c r="J30" s="40">
        <f t="shared" si="3"/>
        <v>1</v>
      </c>
      <c r="K30" s="59">
        <f>215639.56+1296.2</f>
        <v>216935.76</v>
      </c>
      <c r="L30" s="42">
        <f t="shared" si="14"/>
        <v>1054054.4000000001</v>
      </c>
      <c r="M30" s="60">
        <v>241</v>
      </c>
      <c r="N30" s="61">
        <v>130</v>
      </c>
      <c r="O30" s="5"/>
      <c r="P30" s="62">
        <f t="shared" si="4"/>
        <v>70928.48000000001</v>
      </c>
      <c r="Q30" s="63">
        <f t="shared" si="5"/>
        <v>0.48578728403131688</v>
      </c>
      <c r="R30" s="64">
        <f t="shared" si="6"/>
        <v>150819.30000000016</v>
      </c>
      <c r="S30" s="65">
        <f t="shared" si="7"/>
        <v>0.16697679264235865</v>
      </c>
      <c r="T30" s="2"/>
      <c r="U30" s="2"/>
      <c r="V30" s="2"/>
      <c r="W30" s="5"/>
      <c r="X30" s="6"/>
      <c r="Y30" s="66">
        <v>16</v>
      </c>
      <c r="Z30" s="50">
        <f t="shared" si="8"/>
        <v>4373.6697095435693</v>
      </c>
      <c r="AA30" s="51">
        <f t="shared" si="9"/>
        <v>8108.1107692307705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45613</v>
      </c>
      <c r="B31" s="58">
        <f t="shared" si="0"/>
        <v>17</v>
      </c>
      <c r="C31" s="40">
        <f t="shared" si="1"/>
        <v>1</v>
      </c>
      <c r="D31" s="73">
        <v>193940</v>
      </c>
      <c r="E31" s="42">
        <f t="shared" si="12"/>
        <v>1097175.1000000001</v>
      </c>
      <c r="F31" s="60">
        <v>181</v>
      </c>
      <c r="G31" s="61">
        <v>119</v>
      </c>
      <c r="H31" s="26">
        <f t="shared" si="13"/>
        <v>45978</v>
      </c>
      <c r="I31" s="58">
        <f t="shared" si="2"/>
        <v>17</v>
      </c>
      <c r="J31" s="40">
        <f t="shared" si="3"/>
        <v>2</v>
      </c>
      <c r="K31" s="59">
        <v>123498.58</v>
      </c>
      <c r="L31" s="42">
        <f t="shared" si="14"/>
        <v>1177552.9800000002</v>
      </c>
      <c r="M31" s="60">
        <v>132</v>
      </c>
      <c r="N31" s="61">
        <v>90</v>
      </c>
      <c r="O31" s="5"/>
      <c r="P31" s="62">
        <f t="shared" si="4"/>
        <v>-70441.42</v>
      </c>
      <c r="Q31" s="63">
        <f t="shared" si="5"/>
        <v>-0.36321243683613491</v>
      </c>
      <c r="R31" s="64">
        <f t="shared" si="6"/>
        <v>80377.880000000121</v>
      </c>
      <c r="S31" s="65">
        <f t="shared" si="7"/>
        <v>7.3258935606540954E-2</v>
      </c>
      <c r="T31" s="2"/>
      <c r="U31" s="2"/>
      <c r="V31" s="2"/>
      <c r="W31" s="5"/>
      <c r="X31" s="6"/>
      <c r="Y31" s="66">
        <v>17</v>
      </c>
      <c r="Z31" s="50">
        <f t="shared" si="8"/>
        <v>8920.8559090909112</v>
      </c>
      <c r="AA31" s="51">
        <f t="shared" si="9"/>
        <v>13083.922000000002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45614</v>
      </c>
      <c r="B32" s="58">
        <f t="shared" si="0"/>
        <v>18</v>
      </c>
      <c r="C32" s="40">
        <f t="shared" si="1"/>
        <v>2</v>
      </c>
      <c r="D32" s="73">
        <f>214269.5/1.16</f>
        <v>184715.08620689655</v>
      </c>
      <c r="E32" s="42">
        <f t="shared" si="12"/>
        <v>1281890.1862068966</v>
      </c>
      <c r="F32" s="60">
        <v>193</v>
      </c>
      <c r="G32" s="61">
        <v>116</v>
      </c>
      <c r="H32" s="26">
        <f t="shared" si="13"/>
        <v>45979</v>
      </c>
      <c r="I32" s="58">
        <f t="shared" si="2"/>
        <v>18</v>
      </c>
      <c r="J32" s="40">
        <f t="shared" si="3"/>
        <v>3</v>
      </c>
      <c r="K32" s="59">
        <v>26632.43</v>
      </c>
      <c r="L32" s="42">
        <f t="shared" si="14"/>
        <v>1204185.4100000001</v>
      </c>
      <c r="M32" s="60">
        <v>30</v>
      </c>
      <c r="N32" s="61">
        <v>17</v>
      </c>
      <c r="O32" s="5"/>
      <c r="P32" s="62">
        <f t="shared" si="4"/>
        <v>-158082.65620689656</v>
      </c>
      <c r="Q32" s="63">
        <f t="shared" si="5"/>
        <v>-0.85581886922777151</v>
      </c>
      <c r="R32" s="64">
        <f t="shared" si="6"/>
        <v>-77704.776206896408</v>
      </c>
      <c r="S32" s="65">
        <f t="shared" si="7"/>
        <v>-6.0617342298894039E-2</v>
      </c>
      <c r="T32" s="2"/>
      <c r="U32" s="2"/>
      <c r="V32" s="2"/>
      <c r="W32" s="5"/>
      <c r="X32" s="6"/>
      <c r="Y32" s="66">
        <v>18</v>
      </c>
      <c r="Z32" s="50">
        <f t="shared" si="8"/>
        <v>40139.513666666673</v>
      </c>
      <c r="AA32" s="51">
        <f t="shared" si="9"/>
        <v>70834.435882352947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45615</v>
      </c>
      <c r="B33" s="58">
        <f t="shared" si="0"/>
        <v>19</v>
      </c>
      <c r="C33" s="40">
        <f t="shared" si="1"/>
        <v>3</v>
      </c>
      <c r="D33" s="73">
        <v>31516.65</v>
      </c>
      <c r="E33" s="42">
        <f t="shared" si="12"/>
        <v>1313406.8362068965</v>
      </c>
      <c r="F33" s="60">
        <v>30</v>
      </c>
      <c r="G33" s="61">
        <v>22</v>
      </c>
      <c r="H33" s="26">
        <f t="shared" si="13"/>
        <v>45980</v>
      </c>
      <c r="I33" s="58">
        <f t="shared" si="2"/>
        <v>19</v>
      </c>
      <c r="J33" s="40">
        <f t="shared" si="3"/>
        <v>4</v>
      </c>
      <c r="K33" s="59">
        <v>13977.85</v>
      </c>
      <c r="L33" s="42">
        <f t="shared" si="14"/>
        <v>1218163.2600000002</v>
      </c>
      <c r="M33" s="60">
        <v>17</v>
      </c>
      <c r="N33" s="61">
        <v>12</v>
      </c>
      <c r="O33" s="5"/>
      <c r="P33" s="62">
        <f t="shared" si="4"/>
        <v>-17538.800000000003</v>
      </c>
      <c r="Q33" s="63">
        <f t="shared" si="5"/>
        <v>-0.55649315520526454</v>
      </c>
      <c r="R33" s="64">
        <f t="shared" si="6"/>
        <v>-95243.576206896221</v>
      </c>
      <c r="S33" s="65">
        <f t="shared" si="7"/>
        <v>-7.2516430995561598E-2</v>
      </c>
      <c r="T33" s="2"/>
      <c r="U33" s="2"/>
      <c r="V33" s="2"/>
      <c r="W33" s="5"/>
      <c r="X33" s="6"/>
      <c r="Y33" s="66">
        <v>19</v>
      </c>
      <c r="Z33" s="50">
        <f t="shared" si="8"/>
        <v>71656.662352941188</v>
      </c>
      <c r="AA33" s="51">
        <f t="shared" si="9"/>
        <v>101513.60500000003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45616</v>
      </c>
      <c r="B34" s="58">
        <f t="shared" si="0"/>
        <v>20</v>
      </c>
      <c r="C34" s="40">
        <f t="shared" si="1"/>
        <v>4</v>
      </c>
      <c r="D34" s="73">
        <v>29458.87</v>
      </c>
      <c r="E34" s="42">
        <f t="shared" si="12"/>
        <v>1342865.7062068966</v>
      </c>
      <c r="F34" s="60">
        <v>33</v>
      </c>
      <c r="G34" s="61">
        <v>19</v>
      </c>
      <c r="H34" s="26">
        <f t="shared" si="13"/>
        <v>45981</v>
      </c>
      <c r="I34" s="58">
        <f t="shared" si="2"/>
        <v>20</v>
      </c>
      <c r="J34" s="40">
        <f t="shared" si="3"/>
        <v>5</v>
      </c>
      <c r="K34" s="59">
        <v>26445.87</v>
      </c>
      <c r="L34" s="42">
        <f t="shared" si="14"/>
        <v>1244609.1300000004</v>
      </c>
      <c r="M34" s="60">
        <v>30</v>
      </c>
      <c r="N34" s="61">
        <v>21</v>
      </c>
      <c r="O34" s="5"/>
      <c r="P34" s="62">
        <f t="shared" si="4"/>
        <v>-3013</v>
      </c>
      <c r="Q34" s="63">
        <f t="shared" si="5"/>
        <v>-0.1022781932911887</v>
      </c>
      <c r="R34" s="64">
        <f t="shared" si="6"/>
        <v>-98256.576206896221</v>
      </c>
      <c r="S34" s="65">
        <f t="shared" si="7"/>
        <v>-7.3169324194326979E-2</v>
      </c>
      <c r="T34" s="2"/>
      <c r="U34" s="2"/>
      <c r="V34" s="2"/>
      <c r="W34" s="5"/>
      <c r="X34" s="6"/>
      <c r="Y34" s="66">
        <v>20</v>
      </c>
      <c r="Z34" s="50">
        <f t="shared" si="8"/>
        <v>41486.971000000012</v>
      </c>
      <c r="AA34" s="51">
        <f t="shared" si="9"/>
        <v>59267.101428571448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45617</v>
      </c>
      <c r="B35" s="58">
        <f t="shared" si="0"/>
        <v>21</v>
      </c>
      <c r="C35" s="40">
        <f t="shared" si="1"/>
        <v>5</v>
      </c>
      <c r="D35" s="73">
        <v>47345.52</v>
      </c>
      <c r="E35" s="42">
        <f t="shared" si="12"/>
        <v>1390211.2262068966</v>
      </c>
      <c r="F35" s="60">
        <v>42</v>
      </c>
      <c r="G35" s="61">
        <v>30</v>
      </c>
      <c r="H35" s="26">
        <f t="shared" si="13"/>
        <v>45982</v>
      </c>
      <c r="I35" s="58">
        <f t="shared" si="2"/>
        <v>21</v>
      </c>
      <c r="J35" s="40">
        <f t="shared" si="3"/>
        <v>6</v>
      </c>
      <c r="K35" s="59">
        <v>27468.28</v>
      </c>
      <c r="L35" s="42">
        <f t="shared" si="14"/>
        <v>1272077.4100000004</v>
      </c>
      <c r="M35" s="60">
        <v>25</v>
      </c>
      <c r="N35" s="61">
        <v>17</v>
      </c>
      <c r="O35" s="5"/>
      <c r="P35" s="62">
        <f t="shared" si="4"/>
        <v>-19877.239999999998</v>
      </c>
      <c r="Q35" s="63">
        <f t="shared" si="5"/>
        <v>-0.4198335977722919</v>
      </c>
      <c r="R35" s="64">
        <f t="shared" si="6"/>
        <v>-118133.81620689621</v>
      </c>
      <c r="S35" s="65">
        <f t="shared" si="7"/>
        <v>-8.4975444004445899E-2</v>
      </c>
      <c r="T35" s="2"/>
      <c r="U35" s="2"/>
      <c r="V35" s="2"/>
      <c r="W35" s="5"/>
      <c r="X35" s="6"/>
      <c r="Y35" s="66">
        <v>21</v>
      </c>
      <c r="Z35" s="50">
        <f t="shared" si="8"/>
        <v>50883.096400000017</v>
      </c>
      <c r="AA35" s="51">
        <f t="shared" si="9"/>
        <v>74828.082941176486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45618</v>
      </c>
      <c r="B36" s="58">
        <f t="shared" si="0"/>
        <v>22</v>
      </c>
      <c r="C36" s="40">
        <f t="shared" si="1"/>
        <v>6</v>
      </c>
      <c r="D36" s="73">
        <v>37924.57</v>
      </c>
      <c r="E36" s="42">
        <f t="shared" si="12"/>
        <v>1428135.7962068967</v>
      </c>
      <c r="F36" s="60">
        <v>37</v>
      </c>
      <c r="G36" s="61">
        <v>19</v>
      </c>
      <c r="H36" s="26">
        <f t="shared" si="13"/>
        <v>45983</v>
      </c>
      <c r="I36" s="58">
        <f t="shared" si="2"/>
        <v>22</v>
      </c>
      <c r="J36" s="40">
        <f t="shared" si="3"/>
        <v>7</v>
      </c>
      <c r="K36" s="59">
        <v>76097.25</v>
      </c>
      <c r="L36" s="42">
        <f t="shared" si="14"/>
        <v>1348174.6600000004</v>
      </c>
      <c r="M36" s="60">
        <v>56</v>
      </c>
      <c r="N36" s="61">
        <v>45</v>
      </c>
      <c r="O36" s="5"/>
      <c r="P36" s="62">
        <f t="shared" si="4"/>
        <v>38172.68</v>
      </c>
      <c r="Q36" s="63">
        <f t="shared" si="5"/>
        <v>1.0065421967869379</v>
      </c>
      <c r="R36" s="64">
        <f t="shared" si="6"/>
        <v>-79961.136206896277</v>
      </c>
      <c r="S36" s="65">
        <f t="shared" si="7"/>
        <v>-5.5989869044156482E-2</v>
      </c>
      <c r="T36" s="2"/>
      <c r="U36" s="2"/>
      <c r="V36" s="2"/>
      <c r="W36" s="5"/>
      <c r="X36" s="6"/>
      <c r="Y36" s="66">
        <v>22</v>
      </c>
      <c r="Z36" s="50">
        <f t="shared" si="8"/>
        <v>24074.547500000008</v>
      </c>
      <c r="AA36" s="51">
        <f t="shared" si="9"/>
        <v>29959.436888888897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45619</v>
      </c>
      <c r="B37" s="58">
        <f t="shared" si="0"/>
        <v>23</v>
      </c>
      <c r="C37" s="40">
        <f t="shared" si="1"/>
        <v>7</v>
      </c>
      <c r="D37" s="73">
        <v>77592.23</v>
      </c>
      <c r="E37" s="42">
        <f t="shared" si="12"/>
        <v>1505728.0262068966</v>
      </c>
      <c r="F37" s="60">
        <v>91</v>
      </c>
      <c r="G37" s="61">
        <v>45</v>
      </c>
      <c r="H37" s="26">
        <f t="shared" si="13"/>
        <v>45984</v>
      </c>
      <c r="I37" s="58">
        <f t="shared" si="2"/>
        <v>23</v>
      </c>
      <c r="J37" s="40">
        <f t="shared" si="3"/>
        <v>1</v>
      </c>
      <c r="K37" s="59">
        <v>82507.56</v>
      </c>
      <c r="L37" s="42">
        <f t="shared" si="14"/>
        <v>1430682.2200000004</v>
      </c>
      <c r="M37" s="60">
        <v>52</v>
      </c>
      <c r="N37" s="61">
        <v>39</v>
      </c>
      <c r="O37" s="5"/>
      <c r="P37" s="62">
        <f t="shared" si="4"/>
        <v>4915.3300000000017</v>
      </c>
      <c r="Q37" s="63">
        <f t="shared" si="5"/>
        <v>6.3348224429172983E-2</v>
      </c>
      <c r="R37" s="64">
        <f t="shared" si="6"/>
        <v>-75045.806206896203</v>
      </c>
      <c r="S37" s="65">
        <f t="shared" si="7"/>
        <v>-4.9840213438774428E-2</v>
      </c>
      <c r="T37" s="2"/>
      <c r="U37" s="2"/>
      <c r="V37" s="2"/>
      <c r="W37" s="5"/>
      <c r="X37" s="6"/>
      <c r="Y37" s="66">
        <v>23</v>
      </c>
      <c r="Z37" s="50">
        <f t="shared" si="8"/>
        <v>27513.119615384625</v>
      </c>
      <c r="AA37" s="51">
        <f t="shared" si="9"/>
        <v>36684.159487179495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45620</v>
      </c>
      <c r="B38" s="58">
        <f t="shared" si="0"/>
        <v>24</v>
      </c>
      <c r="C38" s="40">
        <f t="shared" si="1"/>
        <v>1</v>
      </c>
      <c r="D38" s="73">
        <v>80812.39</v>
      </c>
      <c r="E38" s="42">
        <f t="shared" si="12"/>
        <v>1586540.4162068965</v>
      </c>
      <c r="F38" s="60">
        <v>88</v>
      </c>
      <c r="G38" s="61">
        <v>39</v>
      </c>
      <c r="H38" s="26">
        <f t="shared" si="13"/>
        <v>45985</v>
      </c>
      <c r="I38" s="58">
        <f t="shared" si="2"/>
        <v>24</v>
      </c>
      <c r="J38" s="40">
        <f t="shared" si="3"/>
        <v>2</v>
      </c>
      <c r="K38" s="59">
        <v>26812</v>
      </c>
      <c r="L38" s="42">
        <f t="shared" si="14"/>
        <v>1457494.2200000004</v>
      </c>
      <c r="M38" s="60">
        <v>19</v>
      </c>
      <c r="N38" s="61">
        <v>17</v>
      </c>
      <c r="O38" s="5"/>
      <c r="P38" s="62">
        <f t="shared" si="4"/>
        <v>-54000.39</v>
      </c>
      <c r="Q38" s="63">
        <f t="shared" si="5"/>
        <v>-0.66821919262627927</v>
      </c>
      <c r="R38" s="64">
        <f t="shared" si="6"/>
        <v>-129046.1962068961</v>
      </c>
      <c r="S38" s="65">
        <f t="shared" si="7"/>
        <v>-8.1338108307016821E-2</v>
      </c>
      <c r="T38" s="2"/>
      <c r="U38" s="2"/>
      <c r="V38" s="2"/>
      <c r="W38" s="5"/>
      <c r="X38" s="6"/>
      <c r="Y38" s="66">
        <v>24</v>
      </c>
      <c r="Z38" s="50">
        <f t="shared" si="8"/>
        <v>76710.222105263179</v>
      </c>
      <c r="AA38" s="51">
        <f t="shared" si="9"/>
        <v>85734.954117647081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45621</v>
      </c>
      <c r="B39" s="58">
        <f t="shared" si="0"/>
        <v>25</v>
      </c>
      <c r="C39" s="40">
        <f t="shared" si="1"/>
        <v>2</v>
      </c>
      <c r="D39" s="73">
        <v>45822.69</v>
      </c>
      <c r="E39" s="42">
        <f t="shared" si="12"/>
        <v>1632363.1062068965</v>
      </c>
      <c r="F39" s="60">
        <v>43</v>
      </c>
      <c r="G39" s="61">
        <v>23</v>
      </c>
      <c r="H39" s="26">
        <f t="shared" si="13"/>
        <v>45986</v>
      </c>
      <c r="I39" s="58">
        <f t="shared" si="2"/>
        <v>25</v>
      </c>
      <c r="J39" s="40">
        <f t="shared" si="3"/>
        <v>3</v>
      </c>
      <c r="K39" s="59">
        <v>18020.849999999999</v>
      </c>
      <c r="L39" s="42">
        <f t="shared" si="14"/>
        <v>1475515.0700000005</v>
      </c>
      <c r="M39" s="60">
        <v>19</v>
      </c>
      <c r="N39" s="61">
        <v>15</v>
      </c>
      <c r="O39" s="5"/>
      <c r="P39" s="62">
        <f t="shared" si="4"/>
        <v>-27801.840000000004</v>
      </c>
      <c r="Q39" s="63">
        <f t="shared" si="5"/>
        <v>-0.60672649292304759</v>
      </c>
      <c r="R39" s="64">
        <f t="shared" si="6"/>
        <v>-156848.03620689595</v>
      </c>
      <c r="S39" s="65">
        <f t="shared" si="7"/>
        <v>-9.6086486891609479E-2</v>
      </c>
      <c r="T39" s="2"/>
      <c r="U39" s="2"/>
      <c r="V39" s="2"/>
      <c r="W39" s="5"/>
      <c r="X39" s="6"/>
      <c r="Y39" s="66">
        <v>25</v>
      </c>
      <c r="Z39" s="50">
        <f t="shared" si="8"/>
        <v>77658.687894736868</v>
      </c>
      <c r="AA39" s="51">
        <f t="shared" si="9"/>
        <v>98367.671333333376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45622</v>
      </c>
      <c r="B40" s="58">
        <f t="shared" si="0"/>
        <v>26</v>
      </c>
      <c r="C40" s="40">
        <f t="shared" si="1"/>
        <v>3</v>
      </c>
      <c r="D40" s="73">
        <v>9948.7099999999991</v>
      </c>
      <c r="E40" s="42">
        <f t="shared" si="12"/>
        <v>1642311.8162068964</v>
      </c>
      <c r="F40" s="60">
        <v>13</v>
      </c>
      <c r="G40" s="61">
        <v>9</v>
      </c>
      <c r="H40" s="26">
        <f t="shared" si="13"/>
        <v>45987</v>
      </c>
      <c r="I40" s="58">
        <f t="shared" si="2"/>
        <v>26</v>
      </c>
      <c r="J40" s="40">
        <f t="shared" si="3"/>
        <v>4</v>
      </c>
      <c r="K40" s="59">
        <v>31424.74</v>
      </c>
      <c r="L40" s="42">
        <f t="shared" si="14"/>
        <v>1506939.8100000005</v>
      </c>
      <c r="M40" s="60">
        <v>34</v>
      </c>
      <c r="N40" s="61">
        <v>29</v>
      </c>
      <c r="O40" s="5"/>
      <c r="P40" s="62">
        <f t="shared" si="4"/>
        <v>21476.030000000002</v>
      </c>
      <c r="Q40" s="63">
        <f t="shared" si="5"/>
        <v>2.1586748432711382</v>
      </c>
      <c r="R40" s="64">
        <f t="shared" si="6"/>
        <v>-135372.00620689592</v>
      </c>
      <c r="S40" s="65">
        <f t="shared" si="7"/>
        <v>-8.2427712491013327E-2</v>
      </c>
      <c r="T40" s="2"/>
      <c r="U40" s="2"/>
      <c r="V40" s="2"/>
      <c r="W40" s="5"/>
      <c r="X40" s="6"/>
      <c r="Y40" s="66">
        <v>26</v>
      </c>
      <c r="Z40" s="50">
        <f t="shared" si="8"/>
        <v>44321.759117647074</v>
      </c>
      <c r="AA40" s="51">
        <f t="shared" si="9"/>
        <v>51963.441724137949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45623</v>
      </c>
      <c r="B41" s="58">
        <f t="shared" si="0"/>
        <v>27</v>
      </c>
      <c r="C41" s="40">
        <f t="shared" si="1"/>
        <v>4</v>
      </c>
      <c r="D41" s="73">
        <v>11933.97</v>
      </c>
      <c r="E41" s="42">
        <f t="shared" si="12"/>
        <v>1654245.7862068964</v>
      </c>
      <c r="F41" s="60">
        <v>14</v>
      </c>
      <c r="G41" s="61">
        <v>11</v>
      </c>
      <c r="H41" s="26">
        <f t="shared" si="13"/>
        <v>45988</v>
      </c>
      <c r="I41" s="58">
        <f t="shared" si="2"/>
        <v>27</v>
      </c>
      <c r="J41" s="40">
        <f t="shared" si="3"/>
        <v>5</v>
      </c>
      <c r="K41" s="59">
        <v>27228.400000000001</v>
      </c>
      <c r="L41" s="42">
        <f t="shared" si="14"/>
        <v>1534168.2100000004</v>
      </c>
      <c r="M41" s="60">
        <v>31</v>
      </c>
      <c r="N41" s="61">
        <v>24</v>
      </c>
      <c r="O41" s="5"/>
      <c r="P41" s="62">
        <f t="shared" si="4"/>
        <v>15294.430000000002</v>
      </c>
      <c r="Q41" s="63">
        <f t="shared" si="5"/>
        <v>1.2815877700379676</v>
      </c>
      <c r="R41" s="64">
        <f t="shared" si="6"/>
        <v>-120077.57620689599</v>
      </c>
      <c r="S41" s="65">
        <f t="shared" si="7"/>
        <v>-7.2587506166316373E-2</v>
      </c>
      <c r="T41" s="2"/>
      <c r="U41" s="2"/>
      <c r="V41" s="2"/>
      <c r="W41" s="5"/>
      <c r="X41" s="6"/>
      <c r="Y41" s="66">
        <v>27</v>
      </c>
      <c r="Z41" s="50">
        <f t="shared" si="8"/>
        <v>49489.297096774208</v>
      </c>
      <c r="AA41" s="51">
        <f t="shared" si="9"/>
        <v>63923.675416666687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45624</v>
      </c>
      <c r="B42" s="58">
        <f t="shared" si="0"/>
        <v>28</v>
      </c>
      <c r="C42" s="40">
        <f t="shared" si="1"/>
        <v>5</v>
      </c>
      <c r="D42" s="73">
        <v>31242.92</v>
      </c>
      <c r="E42" s="42">
        <f t="shared" si="12"/>
        <v>1685488.7062068963</v>
      </c>
      <c r="F42" s="60">
        <v>29</v>
      </c>
      <c r="G42" s="61">
        <v>18</v>
      </c>
      <c r="H42" s="26">
        <f t="shared" si="13"/>
        <v>45989</v>
      </c>
      <c r="I42" s="58">
        <f t="shared" si="2"/>
        <v>28</v>
      </c>
      <c r="J42" s="40">
        <f t="shared" si="3"/>
        <v>6</v>
      </c>
      <c r="K42" s="59">
        <v>53459.93</v>
      </c>
      <c r="L42" s="42">
        <f t="shared" si="14"/>
        <v>1587628.1400000004</v>
      </c>
      <c r="M42" s="60">
        <v>54</v>
      </c>
      <c r="N42" s="61">
        <v>37</v>
      </c>
      <c r="O42" s="5"/>
      <c r="P42" s="62">
        <f t="shared" si="4"/>
        <v>22217.010000000002</v>
      </c>
      <c r="Q42" s="63">
        <f t="shared" si="5"/>
        <v>0.71110542804577825</v>
      </c>
      <c r="R42" s="64">
        <f t="shared" si="6"/>
        <v>-97860.566206895979</v>
      </c>
      <c r="S42" s="65">
        <f t="shared" si="7"/>
        <v>-5.8060647838528712E-2</v>
      </c>
      <c r="T42" s="2"/>
      <c r="U42" s="2"/>
      <c r="V42" s="2"/>
      <c r="W42" s="5"/>
      <c r="X42" s="6"/>
      <c r="Y42" s="66">
        <v>28</v>
      </c>
      <c r="Z42" s="50">
        <f t="shared" si="8"/>
        <v>29400.521111111117</v>
      </c>
      <c r="AA42" s="51">
        <f t="shared" si="9"/>
        <v>42908.868648648655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45625</v>
      </c>
      <c r="B43" s="58">
        <f t="shared" si="0"/>
        <v>29</v>
      </c>
      <c r="C43" s="40">
        <f t="shared" si="1"/>
        <v>6</v>
      </c>
      <c r="D43" s="73">
        <v>50536.57</v>
      </c>
      <c r="E43" s="42">
        <f t="shared" si="12"/>
        <v>1736025.2762068964</v>
      </c>
      <c r="F43" s="60">
        <v>48</v>
      </c>
      <c r="G43" s="61">
        <v>27</v>
      </c>
      <c r="H43" s="26">
        <f t="shared" si="13"/>
        <v>45990</v>
      </c>
      <c r="I43" s="58">
        <f t="shared" si="2"/>
        <v>29</v>
      </c>
      <c r="J43" s="40">
        <f t="shared" si="3"/>
        <v>7</v>
      </c>
      <c r="K43" s="59">
        <v>44478.98</v>
      </c>
      <c r="L43" s="42">
        <f t="shared" si="14"/>
        <v>1632107.1200000003</v>
      </c>
      <c r="M43" s="60">
        <v>59</v>
      </c>
      <c r="N43" s="61">
        <v>40</v>
      </c>
      <c r="O43" s="5"/>
      <c r="P43" s="62">
        <f t="shared" si="4"/>
        <v>-6057.5899999999965</v>
      </c>
      <c r="Q43" s="63">
        <f t="shared" si="5"/>
        <v>-0.1198654756347729</v>
      </c>
      <c r="R43" s="64">
        <f t="shared" si="6"/>
        <v>-103918.15620689606</v>
      </c>
      <c r="S43" s="65">
        <f t="shared" si="7"/>
        <v>-5.9859817498712053E-2</v>
      </c>
      <c r="T43" s="2"/>
      <c r="U43" s="2"/>
      <c r="V43" s="2"/>
      <c r="W43" s="5"/>
      <c r="X43" s="6"/>
      <c r="Y43" s="66">
        <v>29</v>
      </c>
      <c r="Z43" s="50">
        <f t="shared" si="8"/>
        <v>27662.832542372886</v>
      </c>
      <c r="AA43" s="51">
        <f t="shared" si="9"/>
        <v>40802.678000000007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45626</v>
      </c>
      <c r="B44" s="58">
        <f t="shared" si="0"/>
        <v>30</v>
      </c>
      <c r="C44" s="40">
        <f t="shared" si="1"/>
        <v>7</v>
      </c>
      <c r="D44" s="73">
        <v>68385.259999999995</v>
      </c>
      <c r="E44" s="42">
        <f t="shared" si="12"/>
        <v>1804410.5362068964</v>
      </c>
      <c r="F44" s="60">
        <v>75</v>
      </c>
      <c r="G44" s="61">
        <v>45</v>
      </c>
      <c r="H44" s="26">
        <f t="shared" si="13"/>
        <v>45991</v>
      </c>
      <c r="I44" s="58">
        <f t="shared" si="2"/>
        <v>30</v>
      </c>
      <c r="J44" s="40">
        <f t="shared" si="3"/>
        <v>1</v>
      </c>
      <c r="K44" s="59">
        <v>84774.05</v>
      </c>
      <c r="L44" s="42">
        <f t="shared" si="14"/>
        <v>1716881.1700000004</v>
      </c>
      <c r="M44" s="60">
        <v>81</v>
      </c>
      <c r="N44" s="61">
        <v>54</v>
      </c>
      <c r="O44" s="5"/>
      <c r="P44" s="62">
        <f t="shared" si="4"/>
        <v>16388.790000000008</v>
      </c>
      <c r="Q44" s="63">
        <f t="shared" si="5"/>
        <v>0.23965383768373494</v>
      </c>
      <c r="R44" s="64">
        <f t="shared" si="6"/>
        <v>-87529.366206896026</v>
      </c>
      <c r="S44" s="65">
        <f t="shared" si="7"/>
        <v>-4.8508565235322765E-2</v>
      </c>
      <c r="T44" s="2"/>
      <c r="U44" s="2"/>
      <c r="V44" s="2"/>
      <c r="W44" s="5"/>
      <c r="X44" s="6"/>
      <c r="Y44" s="66">
        <v>30</v>
      </c>
      <c r="Z44" s="50">
        <f t="shared" si="8"/>
        <v>21196.063827160498</v>
      </c>
      <c r="AA44" s="51">
        <f t="shared" si="9"/>
        <v>31794.095740740748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45627</v>
      </c>
      <c r="B45" s="74">
        <f t="shared" si="0"/>
        <v>1</v>
      </c>
      <c r="C45" s="75">
        <f t="shared" si="1"/>
        <v>1</v>
      </c>
      <c r="D45" s="76"/>
      <c r="E45" s="77" t="str">
        <f t="shared" si="12"/>
        <v/>
      </c>
      <c r="F45" s="78"/>
      <c r="G45" s="79"/>
      <c r="H45" s="26">
        <f t="shared" si="13"/>
        <v>45992</v>
      </c>
      <c r="I45" s="74">
        <f t="shared" si="2"/>
        <v>1</v>
      </c>
      <c r="J45" s="40">
        <f t="shared" si="3"/>
        <v>2</v>
      </c>
      <c r="K45" s="76"/>
      <c r="L45" s="77" t="str">
        <f t="shared" si="14"/>
        <v/>
      </c>
      <c r="M45" s="78"/>
      <c r="N45" s="79"/>
      <c r="O45" s="5"/>
      <c r="P45" s="80" t="str">
        <f t="shared" si="4"/>
        <v/>
      </c>
      <c r="Q45" s="81" t="str">
        <f t="shared" si="5"/>
        <v xml:space="preserve"> </v>
      </c>
      <c r="R45" s="82" t="str">
        <f t="shared" si="6"/>
        <v/>
      </c>
      <c r="S45" s="83" t="str">
        <f t="shared" si="7"/>
        <v/>
      </c>
      <c r="T45" s="2"/>
      <c r="U45" s="2"/>
      <c r="V45" s="2"/>
      <c r="W45" s="5"/>
      <c r="X45" s="6"/>
      <c r="Y45" s="84">
        <v>31</v>
      </c>
      <c r="Z45" s="50" t="str">
        <f t="shared" si="8"/>
        <v xml:space="preserve"> </v>
      </c>
      <c r="AA45" s="51" t="str">
        <f t="shared" si="9"/>
        <v xml:space="preserve"> 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1738</v>
      </c>
      <c r="G46" s="89">
        <f t="shared" si="45"/>
        <v>1045</v>
      </c>
      <c r="H46" s="2"/>
      <c r="I46" s="2"/>
      <c r="J46" s="2"/>
      <c r="K46" s="2" t="s">
        <v>57</v>
      </c>
      <c r="L46" s="2"/>
      <c r="M46" s="89">
        <f t="shared" ref="M46:N46" si="46">SUM(M15:M45)</f>
        <v>1674</v>
      </c>
      <c r="N46" s="89">
        <f t="shared" si="46"/>
        <v>1055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1627.375516587678</v>
      </c>
      <c r="AA46" s="92">
        <f>IFERROR(M46/N46,0)</f>
        <v>1.5867298578199052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1804410.5362068964</v>
      </c>
      <c r="F47" s="97"/>
      <c r="G47" s="97"/>
      <c r="H47" s="98"/>
      <c r="I47" s="129" t="s">
        <v>40</v>
      </c>
      <c r="J47" s="130"/>
      <c r="K47" s="96">
        <f>SUM(K15:K45)</f>
        <v>1716881.1700000004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2093116.2219999996</v>
      </c>
      <c r="F48" s="97"/>
      <c r="G48" s="97"/>
      <c r="H48" s="104"/>
      <c r="I48" s="129" t="s">
        <v>43</v>
      </c>
      <c r="J48" s="130"/>
      <c r="K48" s="103">
        <f>K47*1.16</f>
        <v>1991582.1572000002</v>
      </c>
      <c r="L48" s="105" t="s">
        <v>44</v>
      </c>
      <c r="M48" s="106"/>
      <c r="N48" s="106"/>
      <c r="O48" s="106"/>
      <c r="P48" s="106"/>
      <c r="Q48" s="106"/>
      <c r="R48" s="107">
        <f>K47-E47</f>
        <v>-87529.366206896026</v>
      </c>
      <c r="S48" s="108">
        <f>IFERROR(+K47/E47-1,0)</f>
        <v>-4.8508565235322765E-2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66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-1716881.1700000004</v>
      </c>
      <c r="BN49" s="113">
        <f t="shared" ref="BN49:BO49" si="48">+BN46-M46</f>
        <v>-1674</v>
      </c>
      <c r="BO49" s="114">
        <f t="shared" si="48"/>
        <v>-1055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11" priority="1" operator="lessThan">
      <formula>0</formula>
    </cfRule>
  </conditionalFormatting>
  <conditionalFormatting sqref="E47:G48 K47:K48">
    <cfRule type="cellIs" dxfId="10" priority="2" operator="lessThan">
      <formula>0</formula>
    </cfRule>
  </conditionalFormatting>
  <conditionalFormatting sqref="K15:L45">
    <cfRule type="cellIs" dxfId="9" priority="3" operator="lessThan">
      <formula>0</formula>
    </cfRule>
  </conditionalFormatting>
  <conditionalFormatting sqref="P15:S45">
    <cfRule type="cellIs" dxfId="8" priority="4" operator="lessThan">
      <formula>0</formula>
    </cfRule>
  </conditionalFormatting>
  <conditionalFormatting sqref="R48:S48">
    <cfRule type="cellIs" dxfId="7" priority="5" operator="lessThan">
      <formula>0</formula>
    </cfRule>
  </conditionalFormatting>
  <conditionalFormatting sqref="V8">
    <cfRule type="expression" dxfId="6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A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A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A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A00-000003000000}">
          <x14:formula1>
            <xm:f>DTA!$I$4:$I$18</xm:f>
          </x14:formula1>
          <xm:sqref>D8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I1000"/>
  <sheetViews>
    <sheetView showGridLines="0" topLeftCell="A2" workbookViewId="0"/>
  </sheetViews>
  <sheetFormatPr baseColWidth="10" defaultColWidth="14.42578125" defaultRowHeight="15" customHeight="1" outlineLevelRow="1" outlineLevelCol="1" x14ac:dyDescent="0.25"/>
  <cols>
    <col min="1" max="1" width="0.7109375" customWidth="1"/>
    <col min="2" max="2" width="3" customWidth="1"/>
    <col min="3" max="3" width="10" customWidth="1"/>
    <col min="4" max="4" width="14.42578125" customWidth="1"/>
    <col min="5" max="5" width="19.7109375" customWidth="1"/>
    <col min="6" max="6" width="6.5703125" customWidth="1" outlineLevel="1"/>
    <col min="7" max="7" width="6.28515625" customWidth="1" outlineLevel="1"/>
    <col min="8" max="8" width="0.7109375" customWidth="1" outlineLevel="1"/>
    <col min="9" max="9" width="3" customWidth="1"/>
    <col min="10" max="10" width="10" customWidth="1"/>
    <col min="11" max="11" width="17.42578125" customWidth="1"/>
    <col min="12" max="12" width="13.7109375" customWidth="1"/>
    <col min="13" max="13" width="6" customWidth="1"/>
    <col min="14" max="14" width="7.5703125" customWidth="1"/>
    <col min="15" max="15" width="0.7109375" customWidth="1" outlineLevel="1"/>
    <col min="16" max="17" width="11.5703125" customWidth="1" outlineLevel="1"/>
    <col min="18" max="19" width="11.5703125" customWidth="1"/>
    <col min="20" max="20" width="4.140625" customWidth="1"/>
    <col min="21" max="21" width="19.85546875" customWidth="1"/>
    <col min="22" max="22" width="14.5703125" customWidth="1"/>
    <col min="23" max="23" width="0.7109375" customWidth="1"/>
    <col min="24" max="24" width="3.140625" customWidth="1"/>
    <col min="25" max="25" width="7" customWidth="1"/>
    <col min="26" max="27" width="11.5703125" customWidth="1"/>
    <col min="28" max="28" width="5.42578125" customWidth="1"/>
    <col min="29" max="31" width="11.5703125" customWidth="1"/>
    <col min="32" max="64" width="11.5703125" hidden="1" customWidth="1" outlineLevel="1"/>
    <col min="65" max="87" width="11.5703125" customWidth="1"/>
  </cols>
  <sheetData>
    <row r="1" spans="1:87" ht="14.25" hidden="1" customHeight="1" x14ac:dyDescent="0.25">
      <c r="A1" s="1"/>
      <c r="B1" s="2"/>
      <c r="C1" s="3">
        <f>C3</f>
        <v>2024</v>
      </c>
      <c r="D1" s="3">
        <f>VLOOKUP(D3,DTA!$B$3:$C$15,2,FALSE)</f>
        <v>12</v>
      </c>
      <c r="E1" s="3">
        <f>E3</f>
        <v>1</v>
      </c>
      <c r="F1" s="2"/>
      <c r="G1" s="2"/>
      <c r="H1" s="2"/>
      <c r="I1" s="2"/>
      <c r="J1" s="2"/>
      <c r="K1" s="2"/>
      <c r="L1" s="2"/>
      <c r="M1" s="2"/>
      <c r="N1" s="4"/>
      <c r="O1" s="5"/>
      <c r="P1" s="6"/>
      <c r="Q1" s="6"/>
      <c r="R1" s="6"/>
      <c r="S1" s="6"/>
      <c r="T1" s="6"/>
      <c r="U1" s="6"/>
      <c r="V1" s="6"/>
      <c r="W1" s="6"/>
      <c r="X1" s="6"/>
      <c r="Y1" s="7"/>
      <c r="Z1" s="7"/>
      <c r="AA1" s="7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2" spans="1:87" ht="14.25" customHeight="1" outlineLevel="1" x14ac:dyDescent="0.25">
      <c r="A2" s="8"/>
      <c r="B2" s="9"/>
      <c r="C2" s="10" t="s">
        <v>0</v>
      </c>
      <c r="D2" s="10" t="s">
        <v>1</v>
      </c>
      <c r="E2" s="10" t="s">
        <v>2</v>
      </c>
      <c r="F2" s="9"/>
      <c r="G2" s="9"/>
      <c r="H2" s="9"/>
      <c r="I2" s="9"/>
      <c r="J2" s="9"/>
      <c r="K2" s="9"/>
      <c r="L2" s="9"/>
      <c r="M2" s="9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7"/>
      <c r="Z2" s="7"/>
      <c r="AA2" s="7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</row>
    <row r="3" spans="1:87" ht="14.25" customHeight="1" outlineLevel="1" x14ac:dyDescent="0.3">
      <c r="A3" s="1"/>
      <c r="B3" s="2"/>
      <c r="C3" s="11">
        <v>2024</v>
      </c>
      <c r="D3" s="11" t="s">
        <v>63</v>
      </c>
      <c r="E3" s="11">
        <v>1</v>
      </c>
      <c r="F3" s="2"/>
      <c r="G3" s="2"/>
      <c r="H3" s="2"/>
      <c r="I3" s="2"/>
      <c r="J3" s="2"/>
      <c r="K3" s="2"/>
      <c r="L3" s="2"/>
      <c r="M3" s="2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7"/>
      <c r="Z3" s="7"/>
      <c r="AA3" s="7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</row>
    <row r="4" spans="1:87" ht="14.25" customHeight="1" outlineLevel="1" x14ac:dyDescent="0.2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7"/>
      <c r="Z4" s="7"/>
      <c r="AA4" s="7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</row>
    <row r="5" spans="1:87" ht="3" customHeight="1" outlineLevel="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4"/>
      <c r="O5" s="5"/>
      <c r="P5" s="5"/>
      <c r="Q5" s="5"/>
      <c r="R5" s="5"/>
      <c r="S5" s="5"/>
      <c r="T5" s="5"/>
      <c r="U5" s="5"/>
      <c r="V5" s="5"/>
      <c r="W5" s="5"/>
      <c r="X5" s="6"/>
      <c r="Y5" s="7"/>
      <c r="Z5" s="7"/>
      <c r="AA5" s="7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</row>
    <row r="6" spans="1:87" ht="14.25" customHeight="1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4"/>
      <c r="O6" s="5"/>
      <c r="P6" s="2"/>
      <c r="Q6" s="2"/>
      <c r="R6" s="2"/>
      <c r="S6" s="2"/>
      <c r="T6" s="2"/>
      <c r="U6" s="2"/>
      <c r="V6" s="2"/>
      <c r="W6" s="5"/>
      <c r="X6" s="6"/>
      <c r="Y6" s="7"/>
      <c r="Z6" s="7"/>
      <c r="AA6" s="7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</row>
    <row r="7" spans="1:87" ht="14.25" customHeight="1" x14ac:dyDescent="0.25">
      <c r="A7" s="12"/>
      <c r="B7" s="13"/>
      <c r="C7" s="13"/>
      <c r="D7" s="13"/>
      <c r="E7" s="14"/>
      <c r="F7" s="14"/>
      <c r="G7" s="14"/>
      <c r="H7" s="13"/>
      <c r="I7" s="13"/>
      <c r="J7" s="13"/>
      <c r="K7" s="13"/>
      <c r="L7" s="13"/>
      <c r="M7" s="13"/>
      <c r="N7" s="4"/>
      <c r="O7" s="5"/>
      <c r="P7" s="2"/>
      <c r="Q7" s="10" t="s">
        <v>0</v>
      </c>
      <c r="R7" s="10" t="s">
        <v>1</v>
      </c>
      <c r="S7" s="10" t="s">
        <v>2</v>
      </c>
      <c r="T7" s="2"/>
      <c r="U7" s="137" t="s">
        <v>7</v>
      </c>
      <c r="V7" s="15"/>
      <c r="W7" s="5"/>
      <c r="X7" s="6"/>
      <c r="Y7" s="7"/>
      <c r="Z7" s="7"/>
      <c r="AA7" s="7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</row>
    <row r="8" spans="1:87" ht="21" customHeight="1" x14ac:dyDescent="0.3">
      <c r="A8" s="12"/>
      <c r="B8" s="13"/>
      <c r="C8" s="13"/>
      <c r="D8" s="140" t="s">
        <v>8</v>
      </c>
      <c r="E8" s="141"/>
      <c r="F8" s="141"/>
      <c r="G8" s="141"/>
      <c r="H8" s="141"/>
      <c r="I8" s="141"/>
      <c r="J8" s="141"/>
      <c r="K8" s="141"/>
      <c r="L8" s="141"/>
      <c r="M8" s="142"/>
      <c r="N8" s="4"/>
      <c r="O8" s="5"/>
      <c r="P8" s="2"/>
      <c r="Q8" s="11">
        <v>2025</v>
      </c>
      <c r="R8" s="11" t="s">
        <v>63</v>
      </c>
      <c r="S8" s="11">
        <v>1</v>
      </c>
      <c r="T8" s="2"/>
      <c r="U8" s="138"/>
      <c r="V8" s="16">
        <v>2389833</v>
      </c>
      <c r="W8" s="5"/>
      <c r="X8" s="6"/>
      <c r="Y8" s="7"/>
      <c r="Z8" s="7"/>
      <c r="AA8" s="7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</row>
    <row r="9" spans="1:87" ht="15.75" customHeight="1" x14ac:dyDescent="0.25">
      <c r="A9" s="12"/>
      <c r="B9" s="13"/>
      <c r="C9" s="13"/>
      <c r="D9" s="143"/>
      <c r="E9" s="144"/>
      <c r="F9" s="144"/>
      <c r="G9" s="144"/>
      <c r="H9" s="144"/>
      <c r="I9" s="144"/>
      <c r="J9" s="144"/>
      <c r="K9" s="144"/>
      <c r="L9" s="144"/>
      <c r="M9" s="145"/>
      <c r="N9" s="4"/>
      <c r="O9" s="5"/>
      <c r="P9" s="2"/>
      <c r="Q9" s="2"/>
      <c r="R9" s="2"/>
      <c r="S9" s="2"/>
      <c r="T9" s="2"/>
      <c r="U9" s="139"/>
      <c r="V9" s="17"/>
      <c r="W9" s="5"/>
      <c r="X9" s="6"/>
      <c r="Y9" s="7"/>
      <c r="Z9" s="7"/>
      <c r="AA9" s="7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</row>
    <row r="10" spans="1:87" ht="14.25" hidden="1" customHeight="1" x14ac:dyDescent="0.25">
      <c r="A10" s="12"/>
      <c r="B10" s="13"/>
      <c r="C10" s="13"/>
      <c r="D10" s="13"/>
      <c r="E10" s="14"/>
      <c r="F10" s="14"/>
      <c r="G10" s="14"/>
      <c r="H10" s="13"/>
      <c r="I10" s="13"/>
      <c r="J10" s="13"/>
      <c r="K10" s="13"/>
      <c r="L10" s="13"/>
      <c r="M10" s="13"/>
      <c r="N10" s="4"/>
      <c r="O10" s="5"/>
      <c r="P10" s="2"/>
      <c r="Q10" s="18">
        <f>+Q8</f>
        <v>2025</v>
      </c>
      <c r="R10" s="18">
        <f>VLOOKUP(R8,DTA!$B$3:$C$15,2,FALSE)</f>
        <v>12</v>
      </c>
      <c r="S10" s="18">
        <f>+S8</f>
        <v>1</v>
      </c>
      <c r="T10" s="2"/>
      <c r="U10" s="6"/>
      <c r="V10" s="6"/>
      <c r="W10" s="5"/>
      <c r="X10" s="6"/>
      <c r="Y10" s="7"/>
      <c r="Z10" s="7"/>
      <c r="AA10" s="7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</row>
    <row r="11" spans="1:87" ht="14.25" customHeight="1" x14ac:dyDescent="0.25">
      <c r="A11" s="19"/>
      <c r="B11" s="20"/>
      <c r="C11" s="20"/>
      <c r="D11" s="21"/>
      <c r="E11" s="21"/>
      <c r="F11" s="21"/>
      <c r="G11" s="21"/>
      <c r="H11" s="20"/>
      <c r="I11" s="20"/>
      <c r="J11" s="20"/>
      <c r="K11" s="20"/>
      <c r="L11" s="20"/>
      <c r="M11" s="20"/>
      <c r="N11" s="22"/>
      <c r="O11" s="5"/>
      <c r="P11" s="2"/>
      <c r="Q11" s="2"/>
      <c r="R11" s="2"/>
      <c r="S11" s="2"/>
      <c r="T11" s="2"/>
      <c r="U11" s="2"/>
      <c r="V11" s="2"/>
      <c r="W11" s="5"/>
      <c r="X11" s="6"/>
      <c r="Y11" s="7"/>
      <c r="Z11" s="7"/>
      <c r="AA11" s="7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</row>
    <row r="12" spans="1:87" ht="3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7"/>
      <c r="Z12" s="7"/>
      <c r="AA12" s="7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</row>
    <row r="13" spans="1:87" ht="30" customHeight="1" outlineLevel="1" x14ac:dyDescent="0.25">
      <c r="A13" s="23"/>
      <c r="B13" s="146" t="s">
        <v>10</v>
      </c>
      <c r="C13" s="147"/>
      <c r="D13" s="147"/>
      <c r="E13" s="147"/>
      <c r="F13" s="147"/>
      <c r="G13" s="148"/>
      <c r="H13" s="5"/>
      <c r="I13" s="149" t="s">
        <v>11</v>
      </c>
      <c r="J13" s="150"/>
      <c r="K13" s="150"/>
      <c r="L13" s="150"/>
      <c r="M13" s="150"/>
      <c r="N13" s="132"/>
      <c r="O13" s="5"/>
      <c r="P13" s="134" t="s">
        <v>12</v>
      </c>
      <c r="Q13" s="150"/>
      <c r="R13" s="150"/>
      <c r="S13" s="132"/>
      <c r="T13" s="2"/>
      <c r="U13" s="24" t="s">
        <v>13</v>
      </c>
      <c r="V13" s="25">
        <f>K47/V8</f>
        <v>0.92988398770960146</v>
      </c>
      <c r="W13" s="5"/>
      <c r="X13" s="6"/>
      <c r="Y13" s="7"/>
      <c r="Z13" s="7"/>
      <c r="AA13" s="7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</row>
    <row r="14" spans="1:87" ht="14.25" customHeight="1" outlineLevel="1" x14ac:dyDescent="0.25">
      <c r="A14" s="26">
        <f>+DATE(C1,D1,E1)</f>
        <v>45627</v>
      </c>
      <c r="B14" s="134" t="s">
        <v>14</v>
      </c>
      <c r="C14" s="132"/>
      <c r="D14" s="27" t="s">
        <v>15</v>
      </c>
      <c r="E14" s="27" t="s">
        <v>16</v>
      </c>
      <c r="F14" s="28" t="s">
        <v>17</v>
      </c>
      <c r="G14" s="29" t="s">
        <v>18</v>
      </c>
      <c r="H14" s="26">
        <f>+DATE(Q10,R10,S10)</f>
        <v>45992</v>
      </c>
      <c r="I14" s="135" t="s">
        <v>14</v>
      </c>
      <c r="J14" s="136"/>
      <c r="K14" s="27" t="s">
        <v>15</v>
      </c>
      <c r="L14" s="27" t="s">
        <v>16</v>
      </c>
      <c r="M14" s="30" t="s">
        <v>17</v>
      </c>
      <c r="N14" s="24" t="s">
        <v>18</v>
      </c>
      <c r="O14" s="5"/>
      <c r="P14" s="31" t="s">
        <v>19</v>
      </c>
      <c r="Q14" s="32" t="s">
        <v>20</v>
      </c>
      <c r="R14" s="31" t="s">
        <v>21</v>
      </c>
      <c r="S14" s="32" t="s">
        <v>20</v>
      </c>
      <c r="T14" s="2"/>
      <c r="U14" s="2"/>
      <c r="V14" s="2"/>
      <c r="W14" s="5"/>
      <c r="X14" s="6"/>
      <c r="Y14" s="33" t="s">
        <v>22</v>
      </c>
      <c r="Z14" s="33" t="s">
        <v>23</v>
      </c>
      <c r="AA14" s="34" t="s">
        <v>24</v>
      </c>
      <c r="AB14" s="6"/>
      <c r="AC14" s="33" t="s">
        <v>25</v>
      </c>
      <c r="AD14" s="35" t="s">
        <v>17</v>
      </c>
      <c r="AE14" s="36" t="s">
        <v>18</v>
      </c>
      <c r="AF14" s="33" t="s">
        <v>26</v>
      </c>
      <c r="AG14" s="35" t="s">
        <v>17</v>
      </c>
      <c r="AH14" s="37" t="s">
        <v>18</v>
      </c>
      <c r="AI14" s="38" t="s">
        <v>27</v>
      </c>
      <c r="AJ14" s="35" t="s">
        <v>17</v>
      </c>
      <c r="AK14" s="37" t="s">
        <v>18</v>
      </c>
      <c r="AL14" s="38" t="s">
        <v>28</v>
      </c>
      <c r="AM14" s="35" t="s">
        <v>17</v>
      </c>
      <c r="AN14" s="37" t="s">
        <v>18</v>
      </c>
      <c r="AO14" s="38" t="s">
        <v>29</v>
      </c>
      <c r="AP14" s="35" t="s">
        <v>17</v>
      </c>
      <c r="AQ14" s="37" t="s">
        <v>18</v>
      </c>
      <c r="AR14" s="38" t="s">
        <v>30</v>
      </c>
      <c r="AS14" s="35" t="s">
        <v>17</v>
      </c>
      <c r="AT14" s="37" t="s">
        <v>18</v>
      </c>
      <c r="AU14" s="38" t="s">
        <v>31</v>
      </c>
      <c r="AV14" s="35" t="s">
        <v>17</v>
      </c>
      <c r="AW14" s="37" t="s">
        <v>18</v>
      </c>
      <c r="AX14" s="38" t="s">
        <v>32</v>
      </c>
      <c r="AY14" s="35" t="s">
        <v>17</v>
      </c>
      <c r="AZ14" s="37" t="s">
        <v>18</v>
      </c>
      <c r="BA14" s="38" t="s">
        <v>33</v>
      </c>
      <c r="BB14" s="35" t="s">
        <v>17</v>
      </c>
      <c r="BC14" s="37" t="s">
        <v>18</v>
      </c>
      <c r="BD14" s="38" t="s">
        <v>34</v>
      </c>
      <c r="BE14" s="35" t="s">
        <v>17</v>
      </c>
      <c r="BF14" s="37" t="s">
        <v>18</v>
      </c>
      <c r="BG14" s="38" t="s">
        <v>35</v>
      </c>
      <c r="BH14" s="35" t="s">
        <v>17</v>
      </c>
      <c r="BI14" s="37" t="s">
        <v>18</v>
      </c>
      <c r="BJ14" s="38" t="s">
        <v>36</v>
      </c>
      <c r="BK14" s="35" t="s">
        <v>17</v>
      </c>
      <c r="BL14" s="37" t="s">
        <v>18</v>
      </c>
      <c r="BM14" s="38" t="s">
        <v>37</v>
      </c>
      <c r="BN14" s="35" t="s">
        <v>17</v>
      </c>
      <c r="BO14" s="36" t="s">
        <v>18</v>
      </c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</row>
    <row r="15" spans="1:87" ht="14.25" customHeight="1" outlineLevel="1" x14ac:dyDescent="0.25">
      <c r="A15" s="26">
        <f>A14</f>
        <v>45627</v>
      </c>
      <c r="B15" s="39">
        <f t="shared" ref="B15:B45" si="0">+DAY(A15)</f>
        <v>1</v>
      </c>
      <c r="C15" s="40">
        <f t="shared" ref="C15:C45" si="1">+WEEKDAY(A15)</f>
        <v>1</v>
      </c>
      <c r="D15" s="117">
        <v>43068.99</v>
      </c>
      <c r="E15" s="42">
        <f>D15</f>
        <v>43068.99</v>
      </c>
      <c r="F15" s="43">
        <v>42</v>
      </c>
      <c r="G15" s="44">
        <v>27</v>
      </c>
      <c r="H15" s="26">
        <f>H14</f>
        <v>45992</v>
      </c>
      <c r="I15" s="39">
        <f t="shared" ref="I15:I45" si="2">+DAY(H15)</f>
        <v>1</v>
      </c>
      <c r="J15" s="40">
        <f t="shared" ref="J15:J45" si="3">+WEEKDAY(H15)</f>
        <v>2</v>
      </c>
      <c r="K15" s="41">
        <v>32295.55</v>
      </c>
      <c r="L15" s="42">
        <f>K15</f>
        <v>32295.55</v>
      </c>
      <c r="M15" s="43">
        <v>28</v>
      </c>
      <c r="N15" s="44">
        <v>16</v>
      </c>
      <c r="O15" s="5"/>
      <c r="P15" s="45">
        <f t="shared" ref="P15:P45" si="4">IF(NOT(ISBLANK(K15)),SUM(K15-D15),"")</f>
        <v>-10773.439999999999</v>
      </c>
      <c r="Q15" s="46">
        <f t="shared" ref="Q15:Q45" si="5">IF(NOT(ISBLANK(K15)),IFERROR(((K15/D15)-1)," ")," ")</f>
        <v>-0.25014378094308687</v>
      </c>
      <c r="R15" s="47">
        <f t="shared" ref="R15:R45" si="6">IF(NOT(ISBLANK(K15)),SUM(L15-E15),"")</f>
        <v>-10773.439999999999</v>
      </c>
      <c r="S15" s="48">
        <f t="shared" ref="S15:S45" si="7">IFERROR(((L15/E15)-1),"")</f>
        <v>-0.25014378094308687</v>
      </c>
      <c r="T15" s="2"/>
      <c r="U15" s="2"/>
      <c r="V15" s="2"/>
      <c r="W15" s="5"/>
      <c r="X15" s="6"/>
      <c r="Y15" s="49">
        <v>1</v>
      </c>
      <c r="Z15" s="50">
        <f t="shared" ref="Z15:Z45" si="8">IFERROR((L15/M15)," ")</f>
        <v>1153.4124999999999</v>
      </c>
      <c r="AA15" s="51">
        <f t="shared" ref="AA15:AA45" si="9">IFERROR((L15/N15)," ")</f>
        <v>2018.471875</v>
      </c>
      <c r="AB15" s="6"/>
      <c r="AC15" s="52">
        <v>0</v>
      </c>
      <c r="AD15" s="53">
        <v>0</v>
      </c>
      <c r="AE15" s="54">
        <v>0</v>
      </c>
      <c r="AF15" s="52">
        <v>0</v>
      </c>
      <c r="AG15" s="53">
        <v>0</v>
      </c>
      <c r="AH15" s="54">
        <v>0</v>
      </c>
      <c r="AI15" s="52">
        <v>0</v>
      </c>
      <c r="AJ15" s="53">
        <v>0</v>
      </c>
      <c r="AK15" s="54">
        <v>0</v>
      </c>
      <c r="AL15" s="52">
        <v>0</v>
      </c>
      <c r="AM15" s="53">
        <v>0</v>
      </c>
      <c r="AN15" s="54">
        <v>0</v>
      </c>
      <c r="AO15" s="52">
        <v>0</v>
      </c>
      <c r="AP15" s="53">
        <v>0</v>
      </c>
      <c r="AQ15" s="54">
        <v>0</v>
      </c>
      <c r="AR15" s="52">
        <v>0</v>
      </c>
      <c r="AS15" s="53">
        <v>0</v>
      </c>
      <c r="AT15" s="54">
        <v>0</v>
      </c>
      <c r="AU15" s="52">
        <v>0</v>
      </c>
      <c r="AV15" s="53">
        <v>0</v>
      </c>
      <c r="AW15" s="54">
        <v>0</v>
      </c>
      <c r="AX15" s="52">
        <v>0</v>
      </c>
      <c r="AY15" s="53">
        <v>0</v>
      </c>
      <c r="AZ15" s="54">
        <v>0</v>
      </c>
      <c r="BA15" s="52">
        <v>0</v>
      </c>
      <c r="BB15" s="53">
        <v>0</v>
      </c>
      <c r="BC15" s="54">
        <v>0</v>
      </c>
      <c r="BD15" s="52">
        <v>0</v>
      </c>
      <c r="BE15" s="53">
        <v>0</v>
      </c>
      <c r="BF15" s="54">
        <v>0</v>
      </c>
      <c r="BG15" s="52">
        <v>0</v>
      </c>
      <c r="BH15" s="53">
        <v>0</v>
      </c>
      <c r="BI15" s="54">
        <v>0</v>
      </c>
      <c r="BJ15" s="52">
        <v>0</v>
      </c>
      <c r="BK15" s="53">
        <v>0</v>
      </c>
      <c r="BL15" s="54">
        <v>0</v>
      </c>
      <c r="BM15" s="55">
        <f t="shared" ref="BM15:BO15" si="10">SUM(AC15+AF15+AI15+AL15+AO15+AR15+BJ15)</f>
        <v>0</v>
      </c>
      <c r="BN15" s="56">
        <f t="shared" si="10"/>
        <v>0</v>
      </c>
      <c r="BO15" s="57">
        <f t="shared" si="10"/>
        <v>0</v>
      </c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</row>
    <row r="16" spans="1:87" ht="14.25" customHeight="1" outlineLevel="1" x14ac:dyDescent="0.25">
      <c r="A16" s="26">
        <f t="shared" ref="A16:A45" si="11">A15+1</f>
        <v>45628</v>
      </c>
      <c r="B16" s="58">
        <f t="shared" si="0"/>
        <v>2</v>
      </c>
      <c r="C16" s="40">
        <f t="shared" si="1"/>
        <v>2</v>
      </c>
      <c r="D16" s="73">
        <v>66755.8</v>
      </c>
      <c r="E16" s="42">
        <f t="shared" ref="E16:E45" si="12">IF(NOT(ISBLANK(D16)),SUM(E15+D16),"")</f>
        <v>109824.79000000001</v>
      </c>
      <c r="F16" s="60">
        <v>57</v>
      </c>
      <c r="G16" s="61">
        <v>37</v>
      </c>
      <c r="H16" s="26">
        <f t="shared" ref="H16:H45" si="13">H15+1</f>
        <v>45993</v>
      </c>
      <c r="I16" s="58">
        <f t="shared" si="2"/>
        <v>2</v>
      </c>
      <c r="J16" s="40">
        <f t="shared" si="3"/>
        <v>3</v>
      </c>
      <c r="K16" s="59">
        <v>32283.06</v>
      </c>
      <c r="L16" s="42">
        <f t="shared" ref="L16:L45" si="14">IF(NOT(ISBLANK(K16)),SUM(L15+K16),"")</f>
        <v>64578.61</v>
      </c>
      <c r="M16" s="60">
        <v>33</v>
      </c>
      <c r="N16" s="61">
        <v>21</v>
      </c>
      <c r="O16" s="5"/>
      <c r="P16" s="62">
        <f t="shared" si="4"/>
        <v>-34472.740000000005</v>
      </c>
      <c r="Q16" s="63">
        <f t="shared" si="5"/>
        <v>-0.5164006723011334</v>
      </c>
      <c r="R16" s="64">
        <f t="shared" si="6"/>
        <v>-45246.180000000008</v>
      </c>
      <c r="S16" s="65">
        <f t="shared" si="7"/>
        <v>-0.4119851264910227</v>
      </c>
      <c r="T16" s="2"/>
      <c r="U16" s="2"/>
      <c r="V16" s="2"/>
      <c r="W16" s="5"/>
      <c r="X16" s="6"/>
      <c r="Y16" s="66">
        <v>2</v>
      </c>
      <c r="Z16" s="50">
        <f t="shared" si="8"/>
        <v>1956.9275757575758</v>
      </c>
      <c r="AA16" s="51">
        <f t="shared" si="9"/>
        <v>3075.1719047619049</v>
      </c>
      <c r="AB16" s="6"/>
      <c r="AC16" s="67">
        <v>0</v>
      </c>
      <c r="AD16" s="68">
        <v>0</v>
      </c>
      <c r="AE16" s="69">
        <v>0</v>
      </c>
      <c r="AF16" s="67">
        <v>0</v>
      </c>
      <c r="AG16" s="68">
        <v>0</v>
      </c>
      <c r="AH16" s="69">
        <v>0</v>
      </c>
      <c r="AI16" s="67">
        <v>0</v>
      </c>
      <c r="AJ16" s="68">
        <v>0</v>
      </c>
      <c r="AK16" s="69">
        <v>0</v>
      </c>
      <c r="AL16" s="67">
        <v>0</v>
      </c>
      <c r="AM16" s="68">
        <v>0</v>
      </c>
      <c r="AN16" s="69">
        <v>0</v>
      </c>
      <c r="AO16" s="67">
        <v>0</v>
      </c>
      <c r="AP16" s="68">
        <v>0</v>
      </c>
      <c r="AQ16" s="69">
        <v>0</v>
      </c>
      <c r="AR16" s="67">
        <v>0</v>
      </c>
      <c r="AS16" s="68">
        <v>0</v>
      </c>
      <c r="AT16" s="69">
        <v>0</v>
      </c>
      <c r="AU16" s="67">
        <v>0</v>
      </c>
      <c r="AV16" s="68">
        <v>0</v>
      </c>
      <c r="AW16" s="69">
        <v>0</v>
      </c>
      <c r="AX16" s="67">
        <v>0</v>
      </c>
      <c r="AY16" s="68">
        <v>0</v>
      </c>
      <c r="AZ16" s="69">
        <v>0</v>
      </c>
      <c r="BA16" s="67">
        <v>0</v>
      </c>
      <c r="BB16" s="68">
        <v>0</v>
      </c>
      <c r="BC16" s="69">
        <v>0</v>
      </c>
      <c r="BD16" s="67">
        <v>0</v>
      </c>
      <c r="BE16" s="68">
        <v>0</v>
      </c>
      <c r="BF16" s="69">
        <v>0</v>
      </c>
      <c r="BG16" s="67">
        <v>0</v>
      </c>
      <c r="BH16" s="68">
        <v>0</v>
      </c>
      <c r="BI16" s="69">
        <v>0</v>
      </c>
      <c r="BJ16" s="67">
        <v>0</v>
      </c>
      <c r="BK16" s="68">
        <v>0</v>
      </c>
      <c r="BL16" s="69">
        <v>0</v>
      </c>
      <c r="BM16" s="70">
        <f t="shared" ref="BM16:BO16" si="15">SUM(AC16+AF16+AI16+AL16+AO16+AR16+BJ16)</f>
        <v>0</v>
      </c>
      <c r="BN16" s="71">
        <f t="shared" si="15"/>
        <v>0</v>
      </c>
      <c r="BO16" s="72">
        <f t="shared" si="15"/>
        <v>0</v>
      </c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</row>
    <row r="17" spans="1:87" ht="14.25" customHeight="1" outlineLevel="1" x14ac:dyDescent="0.25">
      <c r="A17" s="26">
        <f t="shared" si="11"/>
        <v>45629</v>
      </c>
      <c r="B17" s="58">
        <f t="shared" si="0"/>
        <v>3</v>
      </c>
      <c r="C17" s="40">
        <f t="shared" si="1"/>
        <v>3</v>
      </c>
      <c r="D17" s="73">
        <v>93399.26</v>
      </c>
      <c r="E17" s="42">
        <f t="shared" si="12"/>
        <v>203224.05</v>
      </c>
      <c r="F17" s="60">
        <v>81</v>
      </c>
      <c r="G17" s="61">
        <v>49</v>
      </c>
      <c r="H17" s="26">
        <f t="shared" si="13"/>
        <v>45994</v>
      </c>
      <c r="I17" s="58">
        <f t="shared" si="2"/>
        <v>3</v>
      </c>
      <c r="J17" s="40">
        <f t="shared" si="3"/>
        <v>4</v>
      </c>
      <c r="K17" s="59">
        <v>24362.71</v>
      </c>
      <c r="L17" s="42">
        <f t="shared" si="14"/>
        <v>88941.32</v>
      </c>
      <c r="M17" s="60">
        <v>23</v>
      </c>
      <c r="N17" s="61">
        <v>15</v>
      </c>
      <c r="O17" s="5"/>
      <c r="P17" s="62">
        <f t="shared" si="4"/>
        <v>-69036.549999999988</v>
      </c>
      <c r="Q17" s="63">
        <f t="shared" si="5"/>
        <v>-0.73915521386357885</v>
      </c>
      <c r="R17" s="64">
        <f t="shared" si="6"/>
        <v>-114282.72999999998</v>
      </c>
      <c r="S17" s="65">
        <f t="shared" si="7"/>
        <v>-0.5623484523608302</v>
      </c>
      <c r="T17" s="2"/>
      <c r="U17" s="2"/>
      <c r="V17" s="2"/>
      <c r="W17" s="5"/>
      <c r="X17" s="6"/>
      <c r="Y17" s="66">
        <v>3</v>
      </c>
      <c r="Z17" s="50">
        <f t="shared" si="8"/>
        <v>3867.0139130434786</v>
      </c>
      <c r="AA17" s="51">
        <f t="shared" si="9"/>
        <v>5929.4213333333337</v>
      </c>
      <c r="AB17" s="6"/>
      <c r="AC17" s="67">
        <v>0</v>
      </c>
      <c r="AD17" s="68">
        <v>0</v>
      </c>
      <c r="AE17" s="69">
        <v>0</v>
      </c>
      <c r="AF17" s="67">
        <v>0</v>
      </c>
      <c r="AG17" s="68">
        <v>0</v>
      </c>
      <c r="AH17" s="69">
        <v>0</v>
      </c>
      <c r="AI17" s="67">
        <v>0</v>
      </c>
      <c r="AJ17" s="68">
        <v>0</v>
      </c>
      <c r="AK17" s="69">
        <v>0</v>
      </c>
      <c r="AL17" s="67">
        <v>0</v>
      </c>
      <c r="AM17" s="68">
        <v>0</v>
      </c>
      <c r="AN17" s="69">
        <v>0</v>
      </c>
      <c r="AO17" s="67">
        <v>0</v>
      </c>
      <c r="AP17" s="68">
        <v>0</v>
      </c>
      <c r="AQ17" s="69">
        <v>0</v>
      </c>
      <c r="AR17" s="67">
        <v>0</v>
      </c>
      <c r="AS17" s="68">
        <v>0</v>
      </c>
      <c r="AT17" s="69">
        <v>0</v>
      </c>
      <c r="AU17" s="67">
        <v>0</v>
      </c>
      <c r="AV17" s="68">
        <v>0</v>
      </c>
      <c r="AW17" s="69">
        <v>0</v>
      </c>
      <c r="AX17" s="67">
        <v>0</v>
      </c>
      <c r="AY17" s="68">
        <v>0</v>
      </c>
      <c r="AZ17" s="69">
        <v>0</v>
      </c>
      <c r="BA17" s="67">
        <v>0</v>
      </c>
      <c r="BB17" s="68">
        <v>0</v>
      </c>
      <c r="BC17" s="69">
        <v>0</v>
      </c>
      <c r="BD17" s="67">
        <v>0</v>
      </c>
      <c r="BE17" s="68">
        <v>0</v>
      </c>
      <c r="BF17" s="69">
        <v>0</v>
      </c>
      <c r="BG17" s="67">
        <v>0</v>
      </c>
      <c r="BH17" s="68">
        <v>0</v>
      </c>
      <c r="BI17" s="69">
        <v>0</v>
      </c>
      <c r="BJ17" s="67">
        <v>0</v>
      </c>
      <c r="BK17" s="68">
        <v>0</v>
      </c>
      <c r="BL17" s="69">
        <v>0</v>
      </c>
      <c r="BM17" s="70">
        <f t="shared" ref="BM17:BO17" si="16">SUM(AC17+AF17+AI17+AL17+AO17+AR17+BJ17)</f>
        <v>0</v>
      </c>
      <c r="BN17" s="71">
        <f t="shared" si="16"/>
        <v>0</v>
      </c>
      <c r="BO17" s="72">
        <f t="shared" si="16"/>
        <v>0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</row>
    <row r="18" spans="1:87" ht="14.25" customHeight="1" outlineLevel="1" x14ac:dyDescent="0.25">
      <c r="A18" s="26">
        <f t="shared" si="11"/>
        <v>45630</v>
      </c>
      <c r="B18" s="58">
        <f t="shared" si="0"/>
        <v>4</v>
      </c>
      <c r="C18" s="40">
        <f t="shared" si="1"/>
        <v>4</v>
      </c>
      <c r="D18" s="73">
        <v>29073.1</v>
      </c>
      <c r="E18" s="42">
        <f t="shared" si="12"/>
        <v>232297.15</v>
      </c>
      <c r="F18" s="60">
        <v>27</v>
      </c>
      <c r="G18" s="61">
        <v>15</v>
      </c>
      <c r="H18" s="26">
        <f t="shared" si="13"/>
        <v>45995</v>
      </c>
      <c r="I18" s="58">
        <f t="shared" si="2"/>
        <v>4</v>
      </c>
      <c r="J18" s="40">
        <f t="shared" si="3"/>
        <v>5</v>
      </c>
      <c r="K18" s="59">
        <v>25818.48</v>
      </c>
      <c r="L18" s="42">
        <f t="shared" si="14"/>
        <v>114759.8</v>
      </c>
      <c r="M18" s="60">
        <v>31</v>
      </c>
      <c r="N18" s="61">
        <v>20</v>
      </c>
      <c r="O18" s="5"/>
      <c r="P18" s="62">
        <f t="shared" si="4"/>
        <v>-3254.619999999999</v>
      </c>
      <c r="Q18" s="63">
        <f t="shared" si="5"/>
        <v>-0.11194609449972648</v>
      </c>
      <c r="R18" s="64">
        <f t="shared" si="6"/>
        <v>-117537.34999999999</v>
      </c>
      <c r="S18" s="65">
        <f t="shared" si="7"/>
        <v>-0.50597844183624296</v>
      </c>
      <c r="T18" s="2"/>
      <c r="U18" s="2"/>
      <c r="V18" s="2"/>
      <c r="W18" s="5"/>
      <c r="X18" s="6"/>
      <c r="Y18" s="66">
        <v>4</v>
      </c>
      <c r="Z18" s="50">
        <f t="shared" si="8"/>
        <v>3701.9290322580646</v>
      </c>
      <c r="AA18" s="51">
        <f t="shared" si="9"/>
        <v>5737.99</v>
      </c>
      <c r="AB18" s="6"/>
      <c r="AC18" s="67">
        <v>0</v>
      </c>
      <c r="AD18" s="68">
        <v>0</v>
      </c>
      <c r="AE18" s="69">
        <v>0</v>
      </c>
      <c r="AF18" s="67">
        <v>0</v>
      </c>
      <c r="AG18" s="68">
        <v>0</v>
      </c>
      <c r="AH18" s="69">
        <v>0</v>
      </c>
      <c r="AI18" s="67">
        <v>0</v>
      </c>
      <c r="AJ18" s="68">
        <v>0</v>
      </c>
      <c r="AK18" s="69">
        <v>0</v>
      </c>
      <c r="AL18" s="67">
        <v>0</v>
      </c>
      <c r="AM18" s="68">
        <v>0</v>
      </c>
      <c r="AN18" s="69">
        <v>0</v>
      </c>
      <c r="AO18" s="67">
        <v>0</v>
      </c>
      <c r="AP18" s="68">
        <v>0</v>
      </c>
      <c r="AQ18" s="69">
        <v>0</v>
      </c>
      <c r="AR18" s="67">
        <v>0</v>
      </c>
      <c r="AS18" s="68">
        <v>0</v>
      </c>
      <c r="AT18" s="69">
        <v>0</v>
      </c>
      <c r="AU18" s="67">
        <v>0</v>
      </c>
      <c r="AV18" s="68">
        <v>0</v>
      </c>
      <c r="AW18" s="69">
        <v>0</v>
      </c>
      <c r="AX18" s="67">
        <v>0</v>
      </c>
      <c r="AY18" s="68">
        <v>0</v>
      </c>
      <c r="AZ18" s="69">
        <v>0</v>
      </c>
      <c r="BA18" s="67">
        <v>0</v>
      </c>
      <c r="BB18" s="68">
        <v>0</v>
      </c>
      <c r="BC18" s="69">
        <v>0</v>
      </c>
      <c r="BD18" s="67">
        <v>0</v>
      </c>
      <c r="BE18" s="68">
        <v>0</v>
      </c>
      <c r="BF18" s="69">
        <v>0</v>
      </c>
      <c r="BG18" s="67">
        <v>0</v>
      </c>
      <c r="BH18" s="68">
        <v>0</v>
      </c>
      <c r="BI18" s="69">
        <v>0</v>
      </c>
      <c r="BJ18" s="67">
        <v>0</v>
      </c>
      <c r="BK18" s="68">
        <v>0</v>
      </c>
      <c r="BL18" s="69">
        <v>0</v>
      </c>
      <c r="BM18" s="70">
        <f t="shared" ref="BM18:BO18" si="17">SUM(AC18+AF18+AI18+AL18+AO18+AR18+BJ18)</f>
        <v>0</v>
      </c>
      <c r="BN18" s="71">
        <f t="shared" si="17"/>
        <v>0</v>
      </c>
      <c r="BO18" s="72">
        <f t="shared" si="17"/>
        <v>0</v>
      </c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</row>
    <row r="19" spans="1:87" ht="14.25" customHeight="1" outlineLevel="1" x14ac:dyDescent="0.25">
      <c r="A19" s="26">
        <f t="shared" si="11"/>
        <v>45631</v>
      </c>
      <c r="B19" s="58">
        <f t="shared" si="0"/>
        <v>5</v>
      </c>
      <c r="C19" s="40">
        <f t="shared" si="1"/>
        <v>5</v>
      </c>
      <c r="D19" s="73">
        <v>24181.919999999998</v>
      </c>
      <c r="E19" s="42">
        <f t="shared" si="12"/>
        <v>256479.07</v>
      </c>
      <c r="F19" s="60">
        <v>26</v>
      </c>
      <c r="G19" s="61">
        <v>15</v>
      </c>
      <c r="H19" s="26">
        <f t="shared" si="13"/>
        <v>45996</v>
      </c>
      <c r="I19" s="58">
        <f t="shared" si="2"/>
        <v>5</v>
      </c>
      <c r="J19" s="40">
        <f t="shared" si="3"/>
        <v>6</v>
      </c>
      <c r="K19" s="59">
        <v>23578.73</v>
      </c>
      <c r="L19" s="42">
        <f t="shared" si="14"/>
        <v>138338.53</v>
      </c>
      <c r="M19" s="60">
        <v>18</v>
      </c>
      <c r="N19" s="61">
        <v>16</v>
      </c>
      <c r="O19" s="5"/>
      <c r="P19" s="62">
        <f t="shared" si="4"/>
        <v>-603.18999999999869</v>
      </c>
      <c r="Q19" s="63">
        <f t="shared" si="5"/>
        <v>-2.4943842341716427E-2</v>
      </c>
      <c r="R19" s="64">
        <f t="shared" si="6"/>
        <v>-118140.54000000001</v>
      </c>
      <c r="S19" s="65">
        <f t="shared" si="7"/>
        <v>-0.46062448682459745</v>
      </c>
      <c r="T19" s="2"/>
      <c r="U19" s="2"/>
      <c r="V19" s="2"/>
      <c r="W19" s="5"/>
      <c r="X19" s="6"/>
      <c r="Y19" s="66">
        <v>5</v>
      </c>
      <c r="Z19" s="50">
        <f t="shared" si="8"/>
        <v>7685.4738888888887</v>
      </c>
      <c r="AA19" s="51">
        <f t="shared" si="9"/>
        <v>8646.1581249999999</v>
      </c>
      <c r="AB19" s="6"/>
      <c r="AC19" s="67">
        <v>0</v>
      </c>
      <c r="AD19" s="68">
        <v>0</v>
      </c>
      <c r="AE19" s="69">
        <v>0</v>
      </c>
      <c r="AF19" s="67">
        <v>0</v>
      </c>
      <c r="AG19" s="68">
        <v>0</v>
      </c>
      <c r="AH19" s="69">
        <v>0</v>
      </c>
      <c r="AI19" s="67">
        <v>0</v>
      </c>
      <c r="AJ19" s="68">
        <v>0</v>
      </c>
      <c r="AK19" s="69">
        <v>0</v>
      </c>
      <c r="AL19" s="67">
        <v>0</v>
      </c>
      <c r="AM19" s="68">
        <v>0</v>
      </c>
      <c r="AN19" s="69">
        <v>0</v>
      </c>
      <c r="AO19" s="67">
        <v>0</v>
      </c>
      <c r="AP19" s="68">
        <v>0</v>
      </c>
      <c r="AQ19" s="69">
        <v>0</v>
      </c>
      <c r="AR19" s="67">
        <v>0</v>
      </c>
      <c r="AS19" s="68">
        <v>0</v>
      </c>
      <c r="AT19" s="69">
        <v>0</v>
      </c>
      <c r="AU19" s="67">
        <v>0</v>
      </c>
      <c r="AV19" s="68">
        <v>0</v>
      </c>
      <c r="AW19" s="69">
        <v>0</v>
      </c>
      <c r="AX19" s="67">
        <v>0</v>
      </c>
      <c r="AY19" s="68">
        <v>0</v>
      </c>
      <c r="AZ19" s="69">
        <v>0</v>
      </c>
      <c r="BA19" s="67">
        <v>0</v>
      </c>
      <c r="BB19" s="68">
        <v>0</v>
      </c>
      <c r="BC19" s="69">
        <v>0</v>
      </c>
      <c r="BD19" s="67">
        <v>0</v>
      </c>
      <c r="BE19" s="68">
        <v>0</v>
      </c>
      <c r="BF19" s="69">
        <v>0</v>
      </c>
      <c r="BG19" s="67">
        <v>0</v>
      </c>
      <c r="BH19" s="68">
        <v>0</v>
      </c>
      <c r="BI19" s="69">
        <v>0</v>
      </c>
      <c r="BJ19" s="67">
        <v>0</v>
      </c>
      <c r="BK19" s="68">
        <v>0</v>
      </c>
      <c r="BL19" s="69">
        <v>0</v>
      </c>
      <c r="BM19" s="70">
        <f t="shared" ref="BM19:BO19" si="18">SUM(AC19+AF19+AI19+AL19+AO19+AR19+BJ19)</f>
        <v>0</v>
      </c>
      <c r="BN19" s="71">
        <f t="shared" si="18"/>
        <v>0</v>
      </c>
      <c r="BO19" s="72">
        <f t="shared" si="18"/>
        <v>0</v>
      </c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</row>
    <row r="20" spans="1:87" ht="14.25" customHeight="1" outlineLevel="1" x14ac:dyDescent="0.25">
      <c r="A20" s="26">
        <f t="shared" si="11"/>
        <v>45632</v>
      </c>
      <c r="B20" s="58">
        <f t="shared" si="0"/>
        <v>6</v>
      </c>
      <c r="C20" s="40">
        <f t="shared" si="1"/>
        <v>6</v>
      </c>
      <c r="D20" s="73">
        <v>56900.44</v>
      </c>
      <c r="E20" s="42">
        <f t="shared" si="12"/>
        <v>313379.51</v>
      </c>
      <c r="F20" s="60">
        <v>51</v>
      </c>
      <c r="G20" s="61">
        <v>28</v>
      </c>
      <c r="H20" s="26">
        <f t="shared" si="13"/>
        <v>45997</v>
      </c>
      <c r="I20" s="58">
        <f t="shared" si="2"/>
        <v>6</v>
      </c>
      <c r="J20" s="40">
        <f t="shared" si="3"/>
        <v>7</v>
      </c>
      <c r="K20" s="59">
        <v>86250.49</v>
      </c>
      <c r="L20" s="42">
        <f t="shared" si="14"/>
        <v>224589.02000000002</v>
      </c>
      <c r="M20" s="60">
        <v>81</v>
      </c>
      <c r="N20" s="61">
        <v>53</v>
      </c>
      <c r="O20" s="5"/>
      <c r="P20" s="62">
        <f t="shared" si="4"/>
        <v>29350.050000000003</v>
      </c>
      <c r="Q20" s="63">
        <f t="shared" si="5"/>
        <v>0.51581411321248138</v>
      </c>
      <c r="R20" s="64">
        <f t="shared" si="6"/>
        <v>-88790.489999999991</v>
      </c>
      <c r="S20" s="65">
        <f t="shared" si="7"/>
        <v>-0.28333214893341296</v>
      </c>
      <c r="T20" s="2"/>
      <c r="U20" s="2"/>
      <c r="V20" s="2"/>
      <c r="W20" s="5"/>
      <c r="X20" s="6"/>
      <c r="Y20" s="66">
        <v>6</v>
      </c>
      <c r="Z20" s="50">
        <f t="shared" si="8"/>
        <v>2772.7039506172841</v>
      </c>
      <c r="AA20" s="51">
        <f t="shared" si="9"/>
        <v>4237.5286792452835</v>
      </c>
      <c r="AB20" s="6"/>
      <c r="AC20" s="67">
        <v>0</v>
      </c>
      <c r="AD20" s="68">
        <v>0</v>
      </c>
      <c r="AE20" s="69">
        <v>0</v>
      </c>
      <c r="AF20" s="67">
        <v>0</v>
      </c>
      <c r="AG20" s="68">
        <v>0</v>
      </c>
      <c r="AH20" s="69">
        <v>0</v>
      </c>
      <c r="AI20" s="67">
        <v>0</v>
      </c>
      <c r="AJ20" s="68">
        <v>0</v>
      </c>
      <c r="AK20" s="69">
        <v>0</v>
      </c>
      <c r="AL20" s="67">
        <v>0</v>
      </c>
      <c r="AM20" s="68">
        <v>0</v>
      </c>
      <c r="AN20" s="69">
        <v>0</v>
      </c>
      <c r="AO20" s="67">
        <v>0</v>
      </c>
      <c r="AP20" s="68">
        <v>0</v>
      </c>
      <c r="AQ20" s="69">
        <v>0</v>
      </c>
      <c r="AR20" s="67">
        <v>0</v>
      </c>
      <c r="AS20" s="68">
        <v>0</v>
      </c>
      <c r="AT20" s="69">
        <v>0</v>
      </c>
      <c r="AU20" s="67">
        <v>0</v>
      </c>
      <c r="AV20" s="68">
        <v>0</v>
      </c>
      <c r="AW20" s="69">
        <v>0</v>
      </c>
      <c r="AX20" s="67">
        <v>0</v>
      </c>
      <c r="AY20" s="68">
        <v>0</v>
      </c>
      <c r="AZ20" s="69">
        <v>0</v>
      </c>
      <c r="BA20" s="67">
        <v>0</v>
      </c>
      <c r="BB20" s="68">
        <v>0</v>
      </c>
      <c r="BC20" s="69">
        <v>0</v>
      </c>
      <c r="BD20" s="67">
        <v>0</v>
      </c>
      <c r="BE20" s="68">
        <v>0</v>
      </c>
      <c r="BF20" s="69">
        <v>0</v>
      </c>
      <c r="BG20" s="67">
        <v>0</v>
      </c>
      <c r="BH20" s="68">
        <v>0</v>
      </c>
      <c r="BI20" s="69">
        <v>0</v>
      </c>
      <c r="BJ20" s="67">
        <v>0</v>
      </c>
      <c r="BK20" s="68">
        <v>0</v>
      </c>
      <c r="BL20" s="69">
        <v>0</v>
      </c>
      <c r="BM20" s="70">
        <f t="shared" ref="BM20:BO20" si="19">SUM(AC20+AF20+AI20+AL20+AO20+AR20+BJ20)</f>
        <v>0</v>
      </c>
      <c r="BN20" s="71">
        <f t="shared" si="19"/>
        <v>0</v>
      </c>
      <c r="BO20" s="72">
        <f t="shared" si="19"/>
        <v>0</v>
      </c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</row>
    <row r="21" spans="1:87" ht="14.25" customHeight="1" outlineLevel="1" x14ac:dyDescent="0.25">
      <c r="A21" s="26">
        <f t="shared" si="11"/>
        <v>45633</v>
      </c>
      <c r="B21" s="58">
        <f t="shared" si="0"/>
        <v>7</v>
      </c>
      <c r="C21" s="40">
        <f t="shared" si="1"/>
        <v>7</v>
      </c>
      <c r="D21" s="73">
        <v>30823.71</v>
      </c>
      <c r="E21" s="42">
        <f t="shared" si="12"/>
        <v>344203.22000000003</v>
      </c>
      <c r="F21" s="60">
        <v>26</v>
      </c>
      <c r="G21" s="61">
        <v>17</v>
      </c>
      <c r="H21" s="26">
        <f t="shared" si="13"/>
        <v>45998</v>
      </c>
      <c r="I21" s="58">
        <f t="shared" si="2"/>
        <v>7</v>
      </c>
      <c r="J21" s="40">
        <f t="shared" si="3"/>
        <v>1</v>
      </c>
      <c r="K21" s="59">
        <v>56937.02</v>
      </c>
      <c r="L21" s="42">
        <f t="shared" si="14"/>
        <v>281526.04000000004</v>
      </c>
      <c r="M21" s="60">
        <v>58</v>
      </c>
      <c r="N21" s="61">
        <v>35</v>
      </c>
      <c r="O21" s="5"/>
      <c r="P21" s="62">
        <f t="shared" si="4"/>
        <v>26113.309999999998</v>
      </c>
      <c r="Q21" s="63">
        <f t="shared" si="5"/>
        <v>0.84718257471277791</v>
      </c>
      <c r="R21" s="64">
        <f t="shared" si="6"/>
        <v>-62677.179999999993</v>
      </c>
      <c r="S21" s="65">
        <f t="shared" si="7"/>
        <v>-0.18209353183854582</v>
      </c>
      <c r="T21" s="2"/>
      <c r="U21" s="2"/>
      <c r="V21" s="2"/>
      <c r="W21" s="5"/>
      <c r="X21" s="6"/>
      <c r="Y21" s="66">
        <v>7</v>
      </c>
      <c r="Z21" s="50">
        <f t="shared" si="8"/>
        <v>4853.8972413793108</v>
      </c>
      <c r="AA21" s="51">
        <f t="shared" si="9"/>
        <v>8043.6011428571437</v>
      </c>
      <c r="AB21" s="6"/>
      <c r="AC21" s="67">
        <v>0</v>
      </c>
      <c r="AD21" s="68">
        <v>0</v>
      </c>
      <c r="AE21" s="69">
        <v>0</v>
      </c>
      <c r="AF21" s="67">
        <v>0</v>
      </c>
      <c r="AG21" s="68">
        <v>0</v>
      </c>
      <c r="AH21" s="69">
        <v>0</v>
      </c>
      <c r="AI21" s="67">
        <v>0</v>
      </c>
      <c r="AJ21" s="68">
        <v>0</v>
      </c>
      <c r="AK21" s="69">
        <v>0</v>
      </c>
      <c r="AL21" s="67">
        <v>0</v>
      </c>
      <c r="AM21" s="68">
        <v>0</v>
      </c>
      <c r="AN21" s="69">
        <v>0</v>
      </c>
      <c r="AO21" s="67">
        <v>0</v>
      </c>
      <c r="AP21" s="68">
        <v>0</v>
      </c>
      <c r="AQ21" s="69">
        <v>0</v>
      </c>
      <c r="AR21" s="67">
        <v>0</v>
      </c>
      <c r="AS21" s="68">
        <v>0</v>
      </c>
      <c r="AT21" s="69">
        <v>0</v>
      </c>
      <c r="AU21" s="67">
        <v>0</v>
      </c>
      <c r="AV21" s="68">
        <v>0</v>
      </c>
      <c r="AW21" s="69">
        <v>0</v>
      </c>
      <c r="AX21" s="67">
        <v>0</v>
      </c>
      <c r="AY21" s="68">
        <v>0</v>
      </c>
      <c r="AZ21" s="69">
        <v>0</v>
      </c>
      <c r="BA21" s="67">
        <v>0</v>
      </c>
      <c r="BB21" s="68">
        <v>0</v>
      </c>
      <c r="BC21" s="69">
        <v>0</v>
      </c>
      <c r="BD21" s="67">
        <v>0</v>
      </c>
      <c r="BE21" s="68">
        <v>0</v>
      </c>
      <c r="BF21" s="69">
        <v>0</v>
      </c>
      <c r="BG21" s="67">
        <v>0</v>
      </c>
      <c r="BH21" s="68">
        <v>0</v>
      </c>
      <c r="BI21" s="69">
        <v>0</v>
      </c>
      <c r="BJ21" s="67">
        <v>0</v>
      </c>
      <c r="BK21" s="68">
        <v>0</v>
      </c>
      <c r="BL21" s="69">
        <v>0</v>
      </c>
      <c r="BM21" s="70">
        <f t="shared" ref="BM21:BO21" si="20">SUM(AC21+AF21+AI21+AL21+AO21+AR21+BJ21)</f>
        <v>0</v>
      </c>
      <c r="BN21" s="71">
        <f t="shared" si="20"/>
        <v>0</v>
      </c>
      <c r="BO21" s="72">
        <f t="shared" si="20"/>
        <v>0</v>
      </c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</row>
    <row r="22" spans="1:87" ht="14.25" customHeight="1" outlineLevel="1" x14ac:dyDescent="0.25">
      <c r="A22" s="26">
        <f t="shared" si="11"/>
        <v>45634</v>
      </c>
      <c r="B22" s="58">
        <f t="shared" si="0"/>
        <v>8</v>
      </c>
      <c r="C22" s="40">
        <f t="shared" si="1"/>
        <v>1</v>
      </c>
      <c r="D22" s="73">
        <v>41126</v>
      </c>
      <c r="E22" s="42">
        <f t="shared" si="12"/>
        <v>385329.22000000003</v>
      </c>
      <c r="F22" s="60">
        <v>32</v>
      </c>
      <c r="G22" s="61">
        <v>21</v>
      </c>
      <c r="H22" s="26">
        <f t="shared" si="13"/>
        <v>45999</v>
      </c>
      <c r="I22" s="58">
        <f t="shared" si="2"/>
        <v>8</v>
      </c>
      <c r="J22" s="40">
        <f t="shared" si="3"/>
        <v>2</v>
      </c>
      <c r="K22" s="59">
        <v>32986.57</v>
      </c>
      <c r="L22" s="42">
        <f t="shared" si="14"/>
        <v>314512.61000000004</v>
      </c>
      <c r="M22" s="60">
        <v>29</v>
      </c>
      <c r="N22" s="61">
        <v>25</v>
      </c>
      <c r="O22" s="5"/>
      <c r="P22" s="62">
        <f t="shared" si="4"/>
        <v>-8139.43</v>
      </c>
      <c r="Q22" s="63">
        <f t="shared" si="5"/>
        <v>-0.19791445800710017</v>
      </c>
      <c r="R22" s="64">
        <f t="shared" si="6"/>
        <v>-70816.609999999986</v>
      </c>
      <c r="S22" s="65">
        <f t="shared" si="7"/>
        <v>-0.18378209158391878</v>
      </c>
      <c r="T22" s="2"/>
      <c r="U22" s="2"/>
      <c r="V22" s="2"/>
      <c r="W22" s="5"/>
      <c r="X22" s="6"/>
      <c r="Y22" s="66">
        <v>8</v>
      </c>
      <c r="Z22" s="50">
        <f t="shared" si="8"/>
        <v>10845.262413793105</v>
      </c>
      <c r="AA22" s="51">
        <f t="shared" si="9"/>
        <v>12580.504400000002</v>
      </c>
      <c r="AB22" s="6"/>
      <c r="AC22" s="67">
        <v>0</v>
      </c>
      <c r="AD22" s="68">
        <v>0</v>
      </c>
      <c r="AE22" s="69">
        <v>0</v>
      </c>
      <c r="AF22" s="67">
        <v>0</v>
      </c>
      <c r="AG22" s="68">
        <v>0</v>
      </c>
      <c r="AH22" s="69">
        <v>0</v>
      </c>
      <c r="AI22" s="67">
        <v>0</v>
      </c>
      <c r="AJ22" s="68">
        <v>0</v>
      </c>
      <c r="AK22" s="69">
        <v>0</v>
      </c>
      <c r="AL22" s="67">
        <v>0</v>
      </c>
      <c r="AM22" s="68">
        <v>0</v>
      </c>
      <c r="AN22" s="69">
        <v>0</v>
      </c>
      <c r="AO22" s="67">
        <v>0</v>
      </c>
      <c r="AP22" s="68">
        <v>0</v>
      </c>
      <c r="AQ22" s="69">
        <v>0</v>
      </c>
      <c r="AR22" s="67">
        <v>0</v>
      </c>
      <c r="AS22" s="68">
        <v>0</v>
      </c>
      <c r="AT22" s="69">
        <v>0</v>
      </c>
      <c r="AU22" s="67">
        <v>0</v>
      </c>
      <c r="AV22" s="68">
        <v>0</v>
      </c>
      <c r="AW22" s="69">
        <v>0</v>
      </c>
      <c r="AX22" s="67">
        <v>0</v>
      </c>
      <c r="AY22" s="68">
        <v>0</v>
      </c>
      <c r="AZ22" s="69">
        <v>0</v>
      </c>
      <c r="BA22" s="67">
        <v>0</v>
      </c>
      <c r="BB22" s="68">
        <v>0</v>
      </c>
      <c r="BC22" s="69">
        <v>0</v>
      </c>
      <c r="BD22" s="67">
        <v>0</v>
      </c>
      <c r="BE22" s="68">
        <v>0</v>
      </c>
      <c r="BF22" s="69">
        <v>0</v>
      </c>
      <c r="BG22" s="67">
        <v>0</v>
      </c>
      <c r="BH22" s="68">
        <v>0</v>
      </c>
      <c r="BI22" s="69">
        <v>0</v>
      </c>
      <c r="BJ22" s="67">
        <v>0</v>
      </c>
      <c r="BK22" s="68">
        <v>0</v>
      </c>
      <c r="BL22" s="69">
        <v>0</v>
      </c>
      <c r="BM22" s="70">
        <f t="shared" ref="BM22:BO22" si="21">SUM(AC22+AF22+AI22+AL22+AO22+AR22+BJ22)</f>
        <v>0</v>
      </c>
      <c r="BN22" s="71">
        <f t="shared" si="21"/>
        <v>0</v>
      </c>
      <c r="BO22" s="72">
        <f t="shared" si="21"/>
        <v>0</v>
      </c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</row>
    <row r="23" spans="1:87" ht="14.25" customHeight="1" outlineLevel="1" x14ac:dyDescent="0.25">
      <c r="A23" s="26">
        <f t="shared" si="11"/>
        <v>45635</v>
      </c>
      <c r="B23" s="58">
        <f t="shared" si="0"/>
        <v>9</v>
      </c>
      <c r="C23" s="40">
        <f t="shared" si="1"/>
        <v>2</v>
      </c>
      <c r="D23" s="73">
        <v>52233.65</v>
      </c>
      <c r="E23" s="42">
        <f t="shared" si="12"/>
        <v>437562.87000000005</v>
      </c>
      <c r="F23" s="60">
        <v>39</v>
      </c>
      <c r="G23" s="61">
        <v>24</v>
      </c>
      <c r="H23" s="26">
        <f t="shared" si="13"/>
        <v>46000</v>
      </c>
      <c r="I23" s="58">
        <f t="shared" si="2"/>
        <v>9</v>
      </c>
      <c r="J23" s="40">
        <f t="shared" si="3"/>
        <v>3</v>
      </c>
      <c r="K23" s="59">
        <v>29465.45</v>
      </c>
      <c r="L23" s="42">
        <f t="shared" si="14"/>
        <v>343978.06000000006</v>
      </c>
      <c r="M23" s="60">
        <v>27</v>
      </c>
      <c r="N23" s="61">
        <v>17</v>
      </c>
      <c r="O23" s="5"/>
      <c r="P23" s="62">
        <f t="shared" si="4"/>
        <v>-22768.2</v>
      </c>
      <c r="Q23" s="63">
        <f t="shared" si="5"/>
        <v>-0.43589142248339907</v>
      </c>
      <c r="R23" s="64">
        <f t="shared" si="6"/>
        <v>-93584.81</v>
      </c>
      <c r="S23" s="65">
        <f t="shared" si="7"/>
        <v>-0.21387740234906127</v>
      </c>
      <c r="T23" s="2"/>
      <c r="U23" s="2"/>
      <c r="V23" s="2"/>
      <c r="W23" s="5"/>
      <c r="X23" s="6"/>
      <c r="Y23" s="66">
        <v>9</v>
      </c>
      <c r="Z23" s="50">
        <f t="shared" si="8"/>
        <v>12739.92814814815</v>
      </c>
      <c r="AA23" s="51">
        <f t="shared" si="9"/>
        <v>20234.00352941177</v>
      </c>
      <c r="AB23" s="6"/>
      <c r="AC23" s="67">
        <v>0</v>
      </c>
      <c r="AD23" s="68">
        <v>0</v>
      </c>
      <c r="AE23" s="69">
        <v>0</v>
      </c>
      <c r="AF23" s="67">
        <v>0</v>
      </c>
      <c r="AG23" s="68">
        <v>0</v>
      </c>
      <c r="AH23" s="69">
        <v>0</v>
      </c>
      <c r="AI23" s="67">
        <v>0</v>
      </c>
      <c r="AJ23" s="68">
        <v>0</v>
      </c>
      <c r="AK23" s="69">
        <v>0</v>
      </c>
      <c r="AL23" s="67">
        <v>0</v>
      </c>
      <c r="AM23" s="68">
        <v>0</v>
      </c>
      <c r="AN23" s="69">
        <v>0</v>
      </c>
      <c r="AO23" s="67">
        <v>0</v>
      </c>
      <c r="AP23" s="68">
        <v>0</v>
      </c>
      <c r="AQ23" s="69">
        <v>0</v>
      </c>
      <c r="AR23" s="67">
        <v>0</v>
      </c>
      <c r="AS23" s="68">
        <v>0</v>
      </c>
      <c r="AT23" s="69">
        <v>0</v>
      </c>
      <c r="AU23" s="67">
        <v>0</v>
      </c>
      <c r="AV23" s="68">
        <v>0</v>
      </c>
      <c r="AW23" s="69">
        <v>0</v>
      </c>
      <c r="AX23" s="67">
        <v>0</v>
      </c>
      <c r="AY23" s="68">
        <v>0</v>
      </c>
      <c r="AZ23" s="69">
        <v>0</v>
      </c>
      <c r="BA23" s="67">
        <v>0</v>
      </c>
      <c r="BB23" s="68">
        <v>0</v>
      </c>
      <c r="BC23" s="69">
        <v>0</v>
      </c>
      <c r="BD23" s="67">
        <v>0</v>
      </c>
      <c r="BE23" s="68">
        <v>0</v>
      </c>
      <c r="BF23" s="69">
        <v>0</v>
      </c>
      <c r="BG23" s="67">
        <v>0</v>
      </c>
      <c r="BH23" s="68">
        <v>0</v>
      </c>
      <c r="BI23" s="69">
        <v>0</v>
      </c>
      <c r="BJ23" s="67">
        <v>0</v>
      </c>
      <c r="BK23" s="68">
        <v>0</v>
      </c>
      <c r="BL23" s="69">
        <v>0</v>
      </c>
      <c r="BM23" s="70">
        <f t="shared" ref="BM23:BO23" si="22">SUM(AC23+AF23+AI23+AL23+AO23+AR23+BJ23)</f>
        <v>0</v>
      </c>
      <c r="BN23" s="71">
        <f t="shared" si="22"/>
        <v>0</v>
      </c>
      <c r="BO23" s="72">
        <f t="shared" si="22"/>
        <v>0</v>
      </c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</row>
    <row r="24" spans="1:87" ht="14.25" customHeight="1" outlineLevel="1" x14ac:dyDescent="0.25">
      <c r="A24" s="26">
        <f t="shared" si="11"/>
        <v>45636</v>
      </c>
      <c r="B24" s="58">
        <f t="shared" si="0"/>
        <v>10</v>
      </c>
      <c r="C24" s="40">
        <f t="shared" si="1"/>
        <v>3</v>
      </c>
      <c r="D24" s="73">
        <v>99086.81</v>
      </c>
      <c r="E24" s="42">
        <f t="shared" si="12"/>
        <v>536649.68000000005</v>
      </c>
      <c r="F24" s="60">
        <v>92</v>
      </c>
      <c r="G24" s="61">
        <v>50</v>
      </c>
      <c r="H24" s="26">
        <f t="shared" si="13"/>
        <v>46001</v>
      </c>
      <c r="I24" s="58">
        <f t="shared" si="2"/>
        <v>10</v>
      </c>
      <c r="J24" s="40">
        <f t="shared" si="3"/>
        <v>4</v>
      </c>
      <c r="K24" s="59">
        <v>52221.42</v>
      </c>
      <c r="L24" s="42">
        <f t="shared" si="14"/>
        <v>396199.48000000004</v>
      </c>
      <c r="M24" s="60">
        <v>52</v>
      </c>
      <c r="N24" s="61">
        <v>37</v>
      </c>
      <c r="O24" s="5"/>
      <c r="P24" s="62">
        <f t="shared" si="4"/>
        <v>-46865.39</v>
      </c>
      <c r="Q24" s="63">
        <f t="shared" si="5"/>
        <v>-0.47297304252705274</v>
      </c>
      <c r="R24" s="64">
        <f t="shared" si="6"/>
        <v>-140450.20000000001</v>
      </c>
      <c r="S24" s="65">
        <f t="shared" si="7"/>
        <v>-0.26171673110845795</v>
      </c>
      <c r="T24" s="2"/>
      <c r="U24" s="2"/>
      <c r="V24" s="2"/>
      <c r="W24" s="5"/>
      <c r="X24" s="6"/>
      <c r="Y24" s="66">
        <v>10</v>
      </c>
      <c r="Z24" s="50">
        <f t="shared" si="8"/>
        <v>7619.2207692307702</v>
      </c>
      <c r="AA24" s="51">
        <f t="shared" si="9"/>
        <v>10708.094054054056</v>
      </c>
      <c r="AB24" s="6"/>
      <c r="AC24" s="67">
        <v>0</v>
      </c>
      <c r="AD24" s="68">
        <v>0</v>
      </c>
      <c r="AE24" s="69">
        <v>0</v>
      </c>
      <c r="AF24" s="67">
        <v>0</v>
      </c>
      <c r="AG24" s="68">
        <v>0</v>
      </c>
      <c r="AH24" s="69">
        <v>0</v>
      </c>
      <c r="AI24" s="67">
        <v>0</v>
      </c>
      <c r="AJ24" s="68">
        <v>0</v>
      </c>
      <c r="AK24" s="69">
        <v>0</v>
      </c>
      <c r="AL24" s="67">
        <v>0</v>
      </c>
      <c r="AM24" s="68">
        <v>0</v>
      </c>
      <c r="AN24" s="69">
        <v>0</v>
      </c>
      <c r="AO24" s="67">
        <v>0</v>
      </c>
      <c r="AP24" s="68">
        <v>0</v>
      </c>
      <c r="AQ24" s="69">
        <v>0</v>
      </c>
      <c r="AR24" s="67">
        <v>0</v>
      </c>
      <c r="AS24" s="68">
        <v>0</v>
      </c>
      <c r="AT24" s="69">
        <v>0</v>
      </c>
      <c r="AU24" s="67">
        <v>0</v>
      </c>
      <c r="AV24" s="68">
        <v>0</v>
      </c>
      <c r="AW24" s="69">
        <v>0</v>
      </c>
      <c r="AX24" s="67">
        <v>0</v>
      </c>
      <c r="AY24" s="68">
        <v>0</v>
      </c>
      <c r="AZ24" s="69">
        <v>0</v>
      </c>
      <c r="BA24" s="67">
        <v>0</v>
      </c>
      <c r="BB24" s="68">
        <v>0</v>
      </c>
      <c r="BC24" s="69">
        <v>0</v>
      </c>
      <c r="BD24" s="67">
        <v>0</v>
      </c>
      <c r="BE24" s="68">
        <v>0</v>
      </c>
      <c r="BF24" s="69">
        <v>0</v>
      </c>
      <c r="BG24" s="67">
        <v>0</v>
      </c>
      <c r="BH24" s="68">
        <v>0</v>
      </c>
      <c r="BI24" s="69">
        <v>0</v>
      </c>
      <c r="BJ24" s="67">
        <v>0</v>
      </c>
      <c r="BK24" s="68">
        <v>0</v>
      </c>
      <c r="BL24" s="69">
        <v>0</v>
      </c>
      <c r="BM24" s="70">
        <f t="shared" ref="BM24:BO24" si="23">SUM(AC24+AF24+AI24+AL24+AO24+AR24+BJ24)</f>
        <v>0</v>
      </c>
      <c r="BN24" s="71">
        <f t="shared" si="23"/>
        <v>0</v>
      </c>
      <c r="BO24" s="72">
        <f t="shared" si="23"/>
        <v>0</v>
      </c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</row>
    <row r="25" spans="1:87" ht="14.25" customHeight="1" outlineLevel="1" x14ac:dyDescent="0.25">
      <c r="A25" s="26">
        <f t="shared" si="11"/>
        <v>45637</v>
      </c>
      <c r="B25" s="58">
        <f t="shared" si="0"/>
        <v>11</v>
      </c>
      <c r="C25" s="40">
        <f t="shared" si="1"/>
        <v>4</v>
      </c>
      <c r="D25" s="73">
        <v>34121.57</v>
      </c>
      <c r="E25" s="42">
        <f t="shared" si="12"/>
        <v>570771.25</v>
      </c>
      <c r="F25" s="60">
        <v>29</v>
      </c>
      <c r="G25" s="61">
        <v>19</v>
      </c>
      <c r="H25" s="26">
        <f t="shared" si="13"/>
        <v>46002</v>
      </c>
      <c r="I25" s="58">
        <f t="shared" si="2"/>
        <v>11</v>
      </c>
      <c r="J25" s="40">
        <f t="shared" si="3"/>
        <v>5</v>
      </c>
      <c r="K25" s="59">
        <v>34080.300000000003</v>
      </c>
      <c r="L25" s="42">
        <f t="shared" si="14"/>
        <v>430279.78</v>
      </c>
      <c r="M25" s="60">
        <v>29</v>
      </c>
      <c r="N25" s="61">
        <v>21</v>
      </c>
      <c r="O25" s="5"/>
      <c r="P25" s="62">
        <f t="shared" si="4"/>
        <v>-41.269999999996799</v>
      </c>
      <c r="Q25" s="63">
        <f t="shared" si="5"/>
        <v>-1.2094988595189315E-3</v>
      </c>
      <c r="R25" s="64">
        <f t="shared" si="6"/>
        <v>-140491.46999999997</v>
      </c>
      <c r="S25" s="65">
        <f t="shared" si="7"/>
        <v>-0.24614321411598772</v>
      </c>
      <c r="T25" s="2"/>
      <c r="U25" s="2"/>
      <c r="V25" s="2"/>
      <c r="W25" s="5"/>
      <c r="X25" s="6"/>
      <c r="Y25" s="66">
        <v>11</v>
      </c>
      <c r="Z25" s="50">
        <f t="shared" si="8"/>
        <v>14837.233793103449</v>
      </c>
      <c r="AA25" s="51">
        <f t="shared" si="9"/>
        <v>20489.513333333336</v>
      </c>
      <c r="AB25" s="6"/>
      <c r="AC25" s="67">
        <v>0</v>
      </c>
      <c r="AD25" s="68">
        <v>0</v>
      </c>
      <c r="AE25" s="69">
        <v>0</v>
      </c>
      <c r="AF25" s="67">
        <v>0</v>
      </c>
      <c r="AG25" s="68">
        <v>0</v>
      </c>
      <c r="AH25" s="69">
        <v>0</v>
      </c>
      <c r="AI25" s="67">
        <v>0</v>
      </c>
      <c r="AJ25" s="68">
        <v>0</v>
      </c>
      <c r="AK25" s="69">
        <v>0</v>
      </c>
      <c r="AL25" s="67">
        <v>0</v>
      </c>
      <c r="AM25" s="68">
        <v>0</v>
      </c>
      <c r="AN25" s="69">
        <v>0</v>
      </c>
      <c r="AO25" s="67">
        <v>0</v>
      </c>
      <c r="AP25" s="68">
        <v>0</v>
      </c>
      <c r="AQ25" s="69">
        <v>0</v>
      </c>
      <c r="AR25" s="67">
        <v>0</v>
      </c>
      <c r="AS25" s="68">
        <v>0</v>
      </c>
      <c r="AT25" s="69">
        <v>0</v>
      </c>
      <c r="AU25" s="67">
        <v>0</v>
      </c>
      <c r="AV25" s="68">
        <v>0</v>
      </c>
      <c r="AW25" s="69">
        <v>0</v>
      </c>
      <c r="AX25" s="67">
        <v>0</v>
      </c>
      <c r="AY25" s="68">
        <v>0</v>
      </c>
      <c r="AZ25" s="69">
        <v>0</v>
      </c>
      <c r="BA25" s="67">
        <v>0</v>
      </c>
      <c r="BB25" s="68">
        <v>0</v>
      </c>
      <c r="BC25" s="69">
        <v>0</v>
      </c>
      <c r="BD25" s="67">
        <v>0</v>
      </c>
      <c r="BE25" s="68">
        <v>0</v>
      </c>
      <c r="BF25" s="69">
        <v>0</v>
      </c>
      <c r="BG25" s="67">
        <v>0</v>
      </c>
      <c r="BH25" s="68">
        <v>0</v>
      </c>
      <c r="BI25" s="69">
        <v>0</v>
      </c>
      <c r="BJ25" s="67">
        <v>0</v>
      </c>
      <c r="BK25" s="68">
        <v>0</v>
      </c>
      <c r="BL25" s="69">
        <v>0</v>
      </c>
      <c r="BM25" s="70">
        <f t="shared" ref="BM25:BO25" si="24">SUM(AC25+AF25+AI25+AL25+AO25+AR25+BJ25)</f>
        <v>0</v>
      </c>
      <c r="BN25" s="71">
        <f t="shared" si="24"/>
        <v>0</v>
      </c>
      <c r="BO25" s="72">
        <f t="shared" si="24"/>
        <v>0</v>
      </c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</row>
    <row r="26" spans="1:87" ht="14.25" customHeight="1" outlineLevel="1" x14ac:dyDescent="0.25">
      <c r="A26" s="26">
        <f t="shared" si="11"/>
        <v>45638</v>
      </c>
      <c r="B26" s="58">
        <f t="shared" si="0"/>
        <v>12</v>
      </c>
      <c r="C26" s="40">
        <f t="shared" si="1"/>
        <v>5</v>
      </c>
      <c r="D26" s="73">
        <v>15117.26</v>
      </c>
      <c r="E26" s="42">
        <f t="shared" si="12"/>
        <v>585888.51</v>
      </c>
      <c r="F26" s="60">
        <v>15</v>
      </c>
      <c r="G26" s="61">
        <v>9</v>
      </c>
      <c r="H26" s="26">
        <f t="shared" si="13"/>
        <v>46003</v>
      </c>
      <c r="I26" s="58">
        <f t="shared" si="2"/>
        <v>12</v>
      </c>
      <c r="J26" s="40">
        <f t="shared" si="3"/>
        <v>6</v>
      </c>
      <c r="K26" s="59">
        <v>62901.919999999998</v>
      </c>
      <c r="L26" s="42">
        <f t="shared" si="14"/>
        <v>493181.7</v>
      </c>
      <c r="M26" s="60">
        <v>57</v>
      </c>
      <c r="N26" s="61">
        <v>34</v>
      </c>
      <c r="O26" s="5"/>
      <c r="P26" s="62">
        <f t="shared" si="4"/>
        <v>47784.659999999996</v>
      </c>
      <c r="Q26" s="63">
        <f t="shared" si="5"/>
        <v>3.1609339258569342</v>
      </c>
      <c r="R26" s="64">
        <f t="shared" si="6"/>
        <v>-92706.81</v>
      </c>
      <c r="S26" s="65">
        <f t="shared" si="7"/>
        <v>-0.15823285218547811</v>
      </c>
      <c r="T26" s="2"/>
      <c r="U26" s="2"/>
      <c r="V26" s="2"/>
      <c r="W26" s="5"/>
      <c r="X26" s="6"/>
      <c r="Y26" s="66">
        <v>12</v>
      </c>
      <c r="Z26" s="50">
        <f t="shared" si="8"/>
        <v>8652.3105263157904</v>
      </c>
      <c r="AA26" s="51">
        <f t="shared" si="9"/>
        <v>14505.344117647059</v>
      </c>
      <c r="AB26" s="6"/>
      <c r="AC26" s="67">
        <v>0</v>
      </c>
      <c r="AD26" s="68">
        <v>0</v>
      </c>
      <c r="AE26" s="69">
        <v>0</v>
      </c>
      <c r="AF26" s="67">
        <v>0</v>
      </c>
      <c r="AG26" s="68">
        <v>0</v>
      </c>
      <c r="AH26" s="69">
        <v>0</v>
      </c>
      <c r="AI26" s="67">
        <v>0</v>
      </c>
      <c r="AJ26" s="68">
        <v>0</v>
      </c>
      <c r="AK26" s="69">
        <v>0</v>
      </c>
      <c r="AL26" s="67">
        <v>0</v>
      </c>
      <c r="AM26" s="68">
        <v>0</v>
      </c>
      <c r="AN26" s="69">
        <v>0</v>
      </c>
      <c r="AO26" s="67">
        <v>0</v>
      </c>
      <c r="AP26" s="68">
        <v>0</v>
      </c>
      <c r="AQ26" s="69">
        <v>0</v>
      </c>
      <c r="AR26" s="67">
        <v>0</v>
      </c>
      <c r="AS26" s="68">
        <v>0</v>
      </c>
      <c r="AT26" s="69">
        <v>0</v>
      </c>
      <c r="AU26" s="67">
        <v>0</v>
      </c>
      <c r="AV26" s="68">
        <v>0</v>
      </c>
      <c r="AW26" s="69">
        <v>0</v>
      </c>
      <c r="AX26" s="67">
        <v>0</v>
      </c>
      <c r="AY26" s="68">
        <v>0</v>
      </c>
      <c r="AZ26" s="69">
        <v>0</v>
      </c>
      <c r="BA26" s="67">
        <v>0</v>
      </c>
      <c r="BB26" s="68">
        <v>0</v>
      </c>
      <c r="BC26" s="69">
        <v>0</v>
      </c>
      <c r="BD26" s="67">
        <v>0</v>
      </c>
      <c r="BE26" s="68">
        <v>0</v>
      </c>
      <c r="BF26" s="69">
        <v>0</v>
      </c>
      <c r="BG26" s="67">
        <v>0</v>
      </c>
      <c r="BH26" s="68">
        <v>0</v>
      </c>
      <c r="BI26" s="69">
        <v>0</v>
      </c>
      <c r="BJ26" s="67">
        <v>0</v>
      </c>
      <c r="BK26" s="68">
        <v>0</v>
      </c>
      <c r="BL26" s="69">
        <v>0</v>
      </c>
      <c r="BM26" s="70">
        <f t="shared" ref="BM26:BO26" si="25">SUM(AC26+AF26+AI26+AL26+AO26+AR26+BJ26)</f>
        <v>0</v>
      </c>
      <c r="BN26" s="71">
        <f t="shared" si="25"/>
        <v>0</v>
      </c>
      <c r="BO26" s="72">
        <f t="shared" si="25"/>
        <v>0</v>
      </c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</row>
    <row r="27" spans="1:87" ht="14.25" customHeight="1" outlineLevel="1" x14ac:dyDescent="0.25">
      <c r="A27" s="26">
        <f t="shared" si="11"/>
        <v>45639</v>
      </c>
      <c r="B27" s="58">
        <f t="shared" si="0"/>
        <v>13</v>
      </c>
      <c r="C27" s="40">
        <f t="shared" si="1"/>
        <v>6</v>
      </c>
      <c r="D27" s="73">
        <v>35662.94</v>
      </c>
      <c r="E27" s="42">
        <f t="shared" si="12"/>
        <v>621551.44999999995</v>
      </c>
      <c r="F27" s="60">
        <v>33</v>
      </c>
      <c r="G27" s="61">
        <v>20</v>
      </c>
      <c r="H27" s="26">
        <f t="shared" si="13"/>
        <v>46004</v>
      </c>
      <c r="I27" s="58">
        <f t="shared" si="2"/>
        <v>13</v>
      </c>
      <c r="J27" s="40">
        <f t="shared" si="3"/>
        <v>7</v>
      </c>
      <c r="K27" s="59">
        <v>110311.34</v>
      </c>
      <c r="L27" s="42">
        <f t="shared" si="14"/>
        <v>603493.04</v>
      </c>
      <c r="M27" s="60">
        <v>101</v>
      </c>
      <c r="N27" s="61">
        <v>57</v>
      </c>
      <c r="O27" s="5"/>
      <c r="P27" s="62">
        <f t="shared" si="4"/>
        <v>74648.399999999994</v>
      </c>
      <c r="Q27" s="63">
        <f t="shared" si="5"/>
        <v>2.0931645007394226</v>
      </c>
      <c r="R27" s="64">
        <f t="shared" si="6"/>
        <v>-18058.409999999916</v>
      </c>
      <c r="S27" s="65">
        <f t="shared" si="7"/>
        <v>-2.9053765380162688E-2</v>
      </c>
      <c r="T27" s="2"/>
      <c r="U27" s="2"/>
      <c r="V27" s="2"/>
      <c r="W27" s="5"/>
      <c r="X27" s="6"/>
      <c r="Y27" s="66">
        <v>13</v>
      </c>
      <c r="Z27" s="50">
        <f t="shared" si="8"/>
        <v>5975.1786138613861</v>
      </c>
      <c r="AA27" s="51">
        <f t="shared" si="9"/>
        <v>10587.597192982457</v>
      </c>
      <c r="AB27" s="6"/>
      <c r="AC27" s="67">
        <v>0</v>
      </c>
      <c r="AD27" s="68">
        <v>0</v>
      </c>
      <c r="AE27" s="69">
        <v>0</v>
      </c>
      <c r="AF27" s="67">
        <v>0</v>
      </c>
      <c r="AG27" s="68">
        <v>0</v>
      </c>
      <c r="AH27" s="69">
        <v>0</v>
      </c>
      <c r="AI27" s="67">
        <v>0</v>
      </c>
      <c r="AJ27" s="68">
        <v>0</v>
      </c>
      <c r="AK27" s="69">
        <v>0</v>
      </c>
      <c r="AL27" s="67">
        <v>0</v>
      </c>
      <c r="AM27" s="68">
        <v>0</v>
      </c>
      <c r="AN27" s="69">
        <v>0</v>
      </c>
      <c r="AO27" s="67">
        <v>0</v>
      </c>
      <c r="AP27" s="68">
        <v>0</v>
      </c>
      <c r="AQ27" s="69">
        <v>0</v>
      </c>
      <c r="AR27" s="67">
        <v>0</v>
      </c>
      <c r="AS27" s="68">
        <v>0</v>
      </c>
      <c r="AT27" s="69">
        <v>0</v>
      </c>
      <c r="AU27" s="67">
        <v>0</v>
      </c>
      <c r="AV27" s="68">
        <v>0</v>
      </c>
      <c r="AW27" s="69">
        <v>0</v>
      </c>
      <c r="AX27" s="67">
        <v>0</v>
      </c>
      <c r="AY27" s="68">
        <v>0</v>
      </c>
      <c r="AZ27" s="69">
        <v>0</v>
      </c>
      <c r="BA27" s="67">
        <v>0</v>
      </c>
      <c r="BB27" s="68">
        <v>0</v>
      </c>
      <c r="BC27" s="69">
        <v>0</v>
      </c>
      <c r="BD27" s="67">
        <v>0</v>
      </c>
      <c r="BE27" s="68">
        <v>0</v>
      </c>
      <c r="BF27" s="69">
        <v>0</v>
      </c>
      <c r="BG27" s="67">
        <v>0</v>
      </c>
      <c r="BH27" s="68">
        <v>0</v>
      </c>
      <c r="BI27" s="69">
        <v>0</v>
      </c>
      <c r="BJ27" s="67">
        <v>0</v>
      </c>
      <c r="BK27" s="68">
        <v>0</v>
      </c>
      <c r="BL27" s="69">
        <v>0</v>
      </c>
      <c r="BM27" s="70">
        <f t="shared" ref="BM27:BO27" si="26">SUM(AC27+AF27+AI27+AL27+AO27+AR27+BJ27)</f>
        <v>0</v>
      </c>
      <c r="BN27" s="71">
        <f t="shared" si="26"/>
        <v>0</v>
      </c>
      <c r="BO27" s="72">
        <f t="shared" si="26"/>
        <v>0</v>
      </c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</row>
    <row r="28" spans="1:87" ht="14.25" customHeight="1" outlineLevel="1" x14ac:dyDescent="0.25">
      <c r="A28" s="26">
        <f t="shared" si="11"/>
        <v>45640</v>
      </c>
      <c r="B28" s="58">
        <f t="shared" si="0"/>
        <v>14</v>
      </c>
      <c r="C28" s="40">
        <f t="shared" si="1"/>
        <v>7</v>
      </c>
      <c r="D28" s="73">
        <v>39343.089999999997</v>
      </c>
      <c r="E28" s="42">
        <f t="shared" si="12"/>
        <v>660894.53999999992</v>
      </c>
      <c r="F28" s="60">
        <v>36</v>
      </c>
      <c r="G28" s="61">
        <v>22</v>
      </c>
      <c r="H28" s="26">
        <f t="shared" si="13"/>
        <v>46005</v>
      </c>
      <c r="I28" s="58">
        <f t="shared" si="2"/>
        <v>14</v>
      </c>
      <c r="J28" s="40">
        <f t="shared" si="3"/>
        <v>1</v>
      </c>
      <c r="K28" s="59">
        <v>117382.68</v>
      </c>
      <c r="L28" s="42">
        <f t="shared" si="14"/>
        <v>720875.72</v>
      </c>
      <c r="M28" s="60">
        <v>91</v>
      </c>
      <c r="N28" s="61">
        <v>73</v>
      </c>
      <c r="O28" s="5"/>
      <c r="P28" s="62">
        <f t="shared" si="4"/>
        <v>78039.59</v>
      </c>
      <c r="Q28" s="63">
        <f t="shared" si="5"/>
        <v>1.9835653478158428</v>
      </c>
      <c r="R28" s="64">
        <f t="shared" si="6"/>
        <v>59981.180000000051</v>
      </c>
      <c r="S28" s="65">
        <f t="shared" si="7"/>
        <v>9.075756625255238E-2</v>
      </c>
      <c r="T28" s="2"/>
      <c r="U28" s="2"/>
      <c r="V28" s="2"/>
      <c r="W28" s="5"/>
      <c r="X28" s="6"/>
      <c r="Y28" s="66">
        <v>14</v>
      </c>
      <c r="Z28" s="50">
        <f t="shared" si="8"/>
        <v>7921.7112087912083</v>
      </c>
      <c r="AA28" s="51">
        <f t="shared" si="9"/>
        <v>9875.0098630136981</v>
      </c>
      <c r="AB28" s="6"/>
      <c r="AC28" s="67">
        <v>0</v>
      </c>
      <c r="AD28" s="68">
        <v>0</v>
      </c>
      <c r="AE28" s="69">
        <v>0</v>
      </c>
      <c r="AF28" s="67">
        <v>0</v>
      </c>
      <c r="AG28" s="68">
        <v>0</v>
      </c>
      <c r="AH28" s="69">
        <v>0</v>
      </c>
      <c r="AI28" s="67">
        <v>0</v>
      </c>
      <c r="AJ28" s="68">
        <v>0</v>
      </c>
      <c r="AK28" s="69">
        <v>0</v>
      </c>
      <c r="AL28" s="67">
        <v>0</v>
      </c>
      <c r="AM28" s="68">
        <v>0</v>
      </c>
      <c r="AN28" s="69">
        <v>0</v>
      </c>
      <c r="AO28" s="67">
        <v>0</v>
      </c>
      <c r="AP28" s="68">
        <v>0</v>
      </c>
      <c r="AQ28" s="69">
        <v>0</v>
      </c>
      <c r="AR28" s="67">
        <v>0</v>
      </c>
      <c r="AS28" s="68">
        <v>0</v>
      </c>
      <c r="AT28" s="69">
        <v>0</v>
      </c>
      <c r="AU28" s="67">
        <v>0</v>
      </c>
      <c r="AV28" s="68">
        <v>0</v>
      </c>
      <c r="AW28" s="69">
        <v>0</v>
      </c>
      <c r="AX28" s="67">
        <v>0</v>
      </c>
      <c r="AY28" s="68">
        <v>0</v>
      </c>
      <c r="AZ28" s="69">
        <v>0</v>
      </c>
      <c r="BA28" s="67">
        <v>0</v>
      </c>
      <c r="BB28" s="68">
        <v>0</v>
      </c>
      <c r="BC28" s="69">
        <v>0</v>
      </c>
      <c r="BD28" s="67">
        <v>0</v>
      </c>
      <c r="BE28" s="68">
        <v>0</v>
      </c>
      <c r="BF28" s="69">
        <v>0</v>
      </c>
      <c r="BG28" s="67">
        <v>0</v>
      </c>
      <c r="BH28" s="68">
        <v>0</v>
      </c>
      <c r="BI28" s="69">
        <v>0</v>
      </c>
      <c r="BJ28" s="67">
        <v>0</v>
      </c>
      <c r="BK28" s="68">
        <v>0</v>
      </c>
      <c r="BL28" s="69">
        <v>0</v>
      </c>
      <c r="BM28" s="70">
        <f t="shared" ref="BM28:BO28" si="27">SUM(AC28+AF28+AI28+AL28+AO28+AR28+BJ28)</f>
        <v>0</v>
      </c>
      <c r="BN28" s="71">
        <f t="shared" si="27"/>
        <v>0</v>
      </c>
      <c r="BO28" s="72">
        <f t="shared" si="27"/>
        <v>0</v>
      </c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</row>
    <row r="29" spans="1:87" ht="14.25" customHeight="1" outlineLevel="1" x14ac:dyDescent="0.25">
      <c r="A29" s="26">
        <f t="shared" si="11"/>
        <v>45641</v>
      </c>
      <c r="B29" s="58">
        <f t="shared" si="0"/>
        <v>15</v>
      </c>
      <c r="C29" s="40">
        <f t="shared" si="1"/>
        <v>1</v>
      </c>
      <c r="D29" s="73">
        <v>96333.28</v>
      </c>
      <c r="E29" s="42">
        <f t="shared" si="12"/>
        <v>757227.82</v>
      </c>
      <c r="F29" s="60">
        <v>92</v>
      </c>
      <c r="G29" s="61">
        <v>48</v>
      </c>
      <c r="H29" s="26">
        <f t="shared" si="13"/>
        <v>46006</v>
      </c>
      <c r="I29" s="58">
        <f t="shared" si="2"/>
        <v>15</v>
      </c>
      <c r="J29" s="40">
        <f t="shared" si="3"/>
        <v>2</v>
      </c>
      <c r="K29" s="59">
        <v>49372.89</v>
      </c>
      <c r="L29" s="42">
        <f t="shared" si="14"/>
        <v>770248.61</v>
      </c>
      <c r="M29" s="60">
        <v>46</v>
      </c>
      <c r="N29" s="61">
        <v>35</v>
      </c>
      <c r="O29" s="5"/>
      <c r="P29" s="62">
        <f t="shared" si="4"/>
        <v>-46960.39</v>
      </c>
      <c r="Q29" s="63">
        <f t="shared" si="5"/>
        <v>-0.48747836677003009</v>
      </c>
      <c r="R29" s="64">
        <f t="shared" si="6"/>
        <v>13020.790000000037</v>
      </c>
      <c r="S29" s="65">
        <f t="shared" si="7"/>
        <v>1.7195340234594125E-2</v>
      </c>
      <c r="T29" s="2"/>
      <c r="U29" s="2"/>
      <c r="V29" s="2"/>
      <c r="W29" s="5"/>
      <c r="X29" s="6"/>
      <c r="Y29" s="66">
        <v>15</v>
      </c>
      <c r="Z29" s="50">
        <f t="shared" si="8"/>
        <v>16744.535</v>
      </c>
      <c r="AA29" s="51">
        <f t="shared" si="9"/>
        <v>22007.103142857144</v>
      </c>
      <c r="AB29" s="6"/>
      <c r="AC29" s="67">
        <v>0</v>
      </c>
      <c r="AD29" s="68">
        <v>0</v>
      </c>
      <c r="AE29" s="69">
        <v>0</v>
      </c>
      <c r="AF29" s="67">
        <v>0</v>
      </c>
      <c r="AG29" s="68">
        <v>0</v>
      </c>
      <c r="AH29" s="69">
        <v>0</v>
      </c>
      <c r="AI29" s="67">
        <v>0</v>
      </c>
      <c r="AJ29" s="68">
        <v>0</v>
      </c>
      <c r="AK29" s="69">
        <v>0</v>
      </c>
      <c r="AL29" s="67">
        <v>0</v>
      </c>
      <c r="AM29" s="68">
        <v>0</v>
      </c>
      <c r="AN29" s="69">
        <v>0</v>
      </c>
      <c r="AO29" s="67">
        <v>0</v>
      </c>
      <c r="AP29" s="68">
        <v>0</v>
      </c>
      <c r="AQ29" s="69">
        <v>0</v>
      </c>
      <c r="AR29" s="67">
        <v>0</v>
      </c>
      <c r="AS29" s="68">
        <v>0</v>
      </c>
      <c r="AT29" s="69">
        <v>0</v>
      </c>
      <c r="AU29" s="67">
        <v>0</v>
      </c>
      <c r="AV29" s="68">
        <v>0</v>
      </c>
      <c r="AW29" s="69">
        <v>0</v>
      </c>
      <c r="AX29" s="67">
        <v>0</v>
      </c>
      <c r="AY29" s="68">
        <v>0</v>
      </c>
      <c r="AZ29" s="69">
        <v>0</v>
      </c>
      <c r="BA29" s="67">
        <v>0</v>
      </c>
      <c r="BB29" s="68">
        <v>0</v>
      </c>
      <c r="BC29" s="69">
        <v>0</v>
      </c>
      <c r="BD29" s="67">
        <v>0</v>
      </c>
      <c r="BE29" s="68">
        <v>0</v>
      </c>
      <c r="BF29" s="69">
        <v>0</v>
      </c>
      <c r="BG29" s="67">
        <v>0</v>
      </c>
      <c r="BH29" s="68">
        <v>0</v>
      </c>
      <c r="BI29" s="69">
        <v>0</v>
      </c>
      <c r="BJ29" s="67">
        <v>0</v>
      </c>
      <c r="BK29" s="68">
        <v>0</v>
      </c>
      <c r="BL29" s="69">
        <v>0</v>
      </c>
      <c r="BM29" s="70">
        <f t="shared" ref="BM29:BO29" si="28">SUM(AC29+AF29+AI29+AL29+AO29+AR29+BJ29)</f>
        <v>0</v>
      </c>
      <c r="BN29" s="71">
        <f t="shared" si="28"/>
        <v>0</v>
      </c>
      <c r="BO29" s="72">
        <f t="shared" si="28"/>
        <v>0</v>
      </c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</row>
    <row r="30" spans="1:87" ht="14.25" customHeight="1" outlineLevel="1" x14ac:dyDescent="0.25">
      <c r="A30" s="26">
        <f t="shared" si="11"/>
        <v>45642</v>
      </c>
      <c r="B30" s="58">
        <f t="shared" si="0"/>
        <v>16</v>
      </c>
      <c r="C30" s="40">
        <f t="shared" si="1"/>
        <v>2</v>
      </c>
      <c r="D30" s="73">
        <v>146007.28</v>
      </c>
      <c r="E30" s="42">
        <f t="shared" si="12"/>
        <v>903235.1</v>
      </c>
      <c r="F30" s="60">
        <v>143</v>
      </c>
      <c r="G30" s="61">
        <v>102</v>
      </c>
      <c r="H30" s="26">
        <f t="shared" si="13"/>
        <v>46007</v>
      </c>
      <c r="I30" s="58">
        <f t="shared" si="2"/>
        <v>16</v>
      </c>
      <c r="J30" s="40">
        <f t="shared" si="3"/>
        <v>3</v>
      </c>
      <c r="K30" s="59">
        <v>76894.31</v>
      </c>
      <c r="L30" s="42">
        <f t="shared" si="14"/>
        <v>847142.91999999993</v>
      </c>
      <c r="M30" s="60">
        <v>78</v>
      </c>
      <c r="N30" s="61">
        <v>46</v>
      </c>
      <c r="O30" s="5"/>
      <c r="P30" s="62">
        <f t="shared" si="4"/>
        <v>-69112.97</v>
      </c>
      <c r="Q30" s="63">
        <f t="shared" si="5"/>
        <v>-0.47335290404697627</v>
      </c>
      <c r="R30" s="64">
        <f t="shared" si="6"/>
        <v>-56092.180000000051</v>
      </c>
      <c r="S30" s="65">
        <f t="shared" si="7"/>
        <v>-6.2101417449344054E-2</v>
      </c>
      <c r="T30" s="2"/>
      <c r="U30" s="2"/>
      <c r="V30" s="2"/>
      <c r="W30" s="5"/>
      <c r="X30" s="6"/>
      <c r="Y30" s="66">
        <v>16</v>
      </c>
      <c r="Z30" s="50">
        <f t="shared" si="8"/>
        <v>10860.806666666665</v>
      </c>
      <c r="AA30" s="51">
        <f t="shared" si="9"/>
        <v>18416.150434782608</v>
      </c>
      <c r="AB30" s="6"/>
      <c r="AC30" s="67">
        <v>0</v>
      </c>
      <c r="AD30" s="68">
        <v>0</v>
      </c>
      <c r="AE30" s="69">
        <v>0</v>
      </c>
      <c r="AF30" s="67">
        <v>0</v>
      </c>
      <c r="AG30" s="68">
        <v>0</v>
      </c>
      <c r="AH30" s="69">
        <v>0</v>
      </c>
      <c r="AI30" s="67">
        <v>0</v>
      </c>
      <c r="AJ30" s="68">
        <v>0</v>
      </c>
      <c r="AK30" s="69">
        <v>0</v>
      </c>
      <c r="AL30" s="67">
        <v>0</v>
      </c>
      <c r="AM30" s="68">
        <v>0</v>
      </c>
      <c r="AN30" s="69">
        <v>0</v>
      </c>
      <c r="AO30" s="67">
        <v>0</v>
      </c>
      <c r="AP30" s="68">
        <v>0</v>
      </c>
      <c r="AQ30" s="69">
        <v>0</v>
      </c>
      <c r="AR30" s="67">
        <v>0</v>
      </c>
      <c r="AS30" s="68">
        <v>0</v>
      </c>
      <c r="AT30" s="69">
        <v>0</v>
      </c>
      <c r="AU30" s="67">
        <v>0</v>
      </c>
      <c r="AV30" s="68">
        <v>0</v>
      </c>
      <c r="AW30" s="69">
        <v>0</v>
      </c>
      <c r="AX30" s="67">
        <v>0</v>
      </c>
      <c r="AY30" s="68">
        <v>0</v>
      </c>
      <c r="AZ30" s="69">
        <v>0</v>
      </c>
      <c r="BA30" s="67">
        <v>0</v>
      </c>
      <c r="BB30" s="68">
        <v>0</v>
      </c>
      <c r="BC30" s="69">
        <v>0</v>
      </c>
      <c r="BD30" s="67">
        <v>0</v>
      </c>
      <c r="BE30" s="68">
        <v>0</v>
      </c>
      <c r="BF30" s="69">
        <v>0</v>
      </c>
      <c r="BG30" s="67">
        <v>0</v>
      </c>
      <c r="BH30" s="68">
        <v>0</v>
      </c>
      <c r="BI30" s="69">
        <v>0</v>
      </c>
      <c r="BJ30" s="67">
        <v>0</v>
      </c>
      <c r="BK30" s="68">
        <v>0</v>
      </c>
      <c r="BL30" s="69">
        <v>0</v>
      </c>
      <c r="BM30" s="70">
        <f t="shared" ref="BM30:BO30" si="29">SUM(AC30+AF30+AI30+AL30+AO30+AR30+BJ30)</f>
        <v>0</v>
      </c>
      <c r="BN30" s="71">
        <f t="shared" si="29"/>
        <v>0</v>
      </c>
      <c r="BO30" s="72">
        <f t="shared" si="29"/>
        <v>0</v>
      </c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</row>
    <row r="31" spans="1:87" ht="14.25" customHeight="1" outlineLevel="1" x14ac:dyDescent="0.25">
      <c r="A31" s="26">
        <f t="shared" si="11"/>
        <v>45643</v>
      </c>
      <c r="B31" s="58">
        <f t="shared" si="0"/>
        <v>17</v>
      </c>
      <c r="C31" s="40">
        <f t="shared" si="1"/>
        <v>3</v>
      </c>
      <c r="D31" s="73">
        <v>193940</v>
      </c>
      <c r="E31" s="42">
        <f t="shared" si="12"/>
        <v>1097175.1000000001</v>
      </c>
      <c r="F31" s="60">
        <v>181</v>
      </c>
      <c r="G31" s="61">
        <v>119</v>
      </c>
      <c r="H31" s="26">
        <f t="shared" si="13"/>
        <v>46008</v>
      </c>
      <c r="I31" s="58">
        <f t="shared" si="2"/>
        <v>17</v>
      </c>
      <c r="J31" s="40">
        <f t="shared" si="3"/>
        <v>4</v>
      </c>
      <c r="K31" s="59">
        <v>59932.27</v>
      </c>
      <c r="L31" s="42">
        <f t="shared" si="14"/>
        <v>907075.19</v>
      </c>
      <c r="M31" s="60">
        <v>51</v>
      </c>
      <c r="N31" s="61">
        <v>33</v>
      </c>
      <c r="O31" s="5"/>
      <c r="P31" s="62">
        <f t="shared" si="4"/>
        <v>-134007.73000000001</v>
      </c>
      <c r="Q31" s="63">
        <f t="shared" si="5"/>
        <v>-0.69097519851500466</v>
      </c>
      <c r="R31" s="64">
        <f t="shared" si="6"/>
        <v>-190099.91000000015</v>
      </c>
      <c r="S31" s="65">
        <f t="shared" si="7"/>
        <v>-0.1732630552771387</v>
      </c>
      <c r="T31" s="2"/>
      <c r="U31" s="2"/>
      <c r="V31" s="2"/>
      <c r="W31" s="5"/>
      <c r="X31" s="6"/>
      <c r="Y31" s="66">
        <v>17</v>
      </c>
      <c r="Z31" s="50">
        <f t="shared" si="8"/>
        <v>17785.788039215684</v>
      </c>
      <c r="AA31" s="51">
        <f t="shared" si="9"/>
        <v>27487.126969696968</v>
      </c>
      <c r="AB31" s="6"/>
      <c r="AC31" s="67">
        <v>0</v>
      </c>
      <c r="AD31" s="68">
        <v>0</v>
      </c>
      <c r="AE31" s="69">
        <v>0</v>
      </c>
      <c r="AF31" s="67">
        <v>0</v>
      </c>
      <c r="AG31" s="68">
        <v>0</v>
      </c>
      <c r="AH31" s="69">
        <v>0</v>
      </c>
      <c r="AI31" s="67">
        <v>0</v>
      </c>
      <c r="AJ31" s="68">
        <v>0</v>
      </c>
      <c r="AK31" s="69">
        <v>0</v>
      </c>
      <c r="AL31" s="67">
        <v>0</v>
      </c>
      <c r="AM31" s="68">
        <v>0</v>
      </c>
      <c r="AN31" s="69">
        <v>0</v>
      </c>
      <c r="AO31" s="67">
        <v>0</v>
      </c>
      <c r="AP31" s="68">
        <v>0</v>
      </c>
      <c r="AQ31" s="69">
        <v>0</v>
      </c>
      <c r="AR31" s="67">
        <v>0</v>
      </c>
      <c r="AS31" s="68">
        <v>0</v>
      </c>
      <c r="AT31" s="69">
        <v>0</v>
      </c>
      <c r="AU31" s="67">
        <v>0</v>
      </c>
      <c r="AV31" s="68">
        <v>0</v>
      </c>
      <c r="AW31" s="69">
        <v>0</v>
      </c>
      <c r="AX31" s="67">
        <v>0</v>
      </c>
      <c r="AY31" s="68">
        <v>0</v>
      </c>
      <c r="AZ31" s="69">
        <v>0</v>
      </c>
      <c r="BA31" s="67">
        <v>0</v>
      </c>
      <c r="BB31" s="68">
        <v>0</v>
      </c>
      <c r="BC31" s="69">
        <v>0</v>
      </c>
      <c r="BD31" s="67">
        <v>0</v>
      </c>
      <c r="BE31" s="68">
        <v>0</v>
      </c>
      <c r="BF31" s="69">
        <v>0</v>
      </c>
      <c r="BG31" s="67">
        <v>0</v>
      </c>
      <c r="BH31" s="68">
        <v>0</v>
      </c>
      <c r="BI31" s="69">
        <v>0</v>
      </c>
      <c r="BJ31" s="67">
        <v>0</v>
      </c>
      <c r="BK31" s="68">
        <v>0</v>
      </c>
      <c r="BL31" s="69">
        <v>0</v>
      </c>
      <c r="BM31" s="70">
        <f t="shared" ref="BM31:BO31" si="30">SUM(AC31+AF31+AI31+AL31+AO31+AR31+BJ31)</f>
        <v>0</v>
      </c>
      <c r="BN31" s="71">
        <f t="shared" si="30"/>
        <v>0</v>
      </c>
      <c r="BO31" s="72">
        <f t="shared" si="30"/>
        <v>0</v>
      </c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</row>
    <row r="32" spans="1:87" ht="14.25" customHeight="1" outlineLevel="1" x14ac:dyDescent="0.25">
      <c r="A32" s="26">
        <f t="shared" si="11"/>
        <v>45644</v>
      </c>
      <c r="B32" s="58">
        <f t="shared" si="0"/>
        <v>18</v>
      </c>
      <c r="C32" s="40">
        <f t="shared" si="1"/>
        <v>4</v>
      </c>
      <c r="D32" s="73">
        <f>214269.5/1.16</f>
        <v>184715.08620689655</v>
      </c>
      <c r="E32" s="42">
        <f t="shared" si="12"/>
        <v>1281890.1862068966</v>
      </c>
      <c r="F32" s="60">
        <v>193</v>
      </c>
      <c r="G32" s="61">
        <v>116</v>
      </c>
      <c r="H32" s="26">
        <f t="shared" si="13"/>
        <v>46009</v>
      </c>
      <c r="I32" s="58">
        <f t="shared" si="2"/>
        <v>18</v>
      </c>
      <c r="J32" s="40">
        <f t="shared" si="3"/>
        <v>5</v>
      </c>
      <c r="K32" s="59">
        <v>106886.82</v>
      </c>
      <c r="L32" s="42">
        <f t="shared" si="14"/>
        <v>1013962.01</v>
      </c>
      <c r="M32" s="60">
        <v>95</v>
      </c>
      <c r="N32" s="61">
        <v>71</v>
      </c>
      <c r="O32" s="5"/>
      <c r="P32" s="62">
        <f t="shared" si="4"/>
        <v>-77828.266206896544</v>
      </c>
      <c r="Q32" s="63">
        <f t="shared" si="5"/>
        <v>-0.42134222929534992</v>
      </c>
      <c r="R32" s="64">
        <f t="shared" si="6"/>
        <v>-267928.17620689655</v>
      </c>
      <c r="S32" s="65">
        <f t="shared" si="7"/>
        <v>-0.20901024057270767</v>
      </c>
      <c r="T32" s="2"/>
      <c r="U32" s="2"/>
      <c r="V32" s="2"/>
      <c r="W32" s="5"/>
      <c r="X32" s="6"/>
      <c r="Y32" s="66">
        <v>18</v>
      </c>
      <c r="Z32" s="50">
        <f t="shared" si="8"/>
        <v>10673.284315789473</v>
      </c>
      <c r="AA32" s="51">
        <f t="shared" si="9"/>
        <v>14281.155070422536</v>
      </c>
      <c r="AB32" s="6"/>
      <c r="AC32" s="67">
        <v>0</v>
      </c>
      <c r="AD32" s="68">
        <v>0</v>
      </c>
      <c r="AE32" s="69">
        <v>0</v>
      </c>
      <c r="AF32" s="67">
        <v>0</v>
      </c>
      <c r="AG32" s="68">
        <v>0</v>
      </c>
      <c r="AH32" s="69">
        <v>0</v>
      </c>
      <c r="AI32" s="67">
        <v>0</v>
      </c>
      <c r="AJ32" s="68">
        <v>0</v>
      </c>
      <c r="AK32" s="69">
        <v>0</v>
      </c>
      <c r="AL32" s="67">
        <v>0</v>
      </c>
      <c r="AM32" s="68">
        <v>0</v>
      </c>
      <c r="AN32" s="69">
        <v>0</v>
      </c>
      <c r="AO32" s="67">
        <v>0</v>
      </c>
      <c r="AP32" s="68">
        <v>0</v>
      </c>
      <c r="AQ32" s="69">
        <v>0</v>
      </c>
      <c r="AR32" s="67">
        <v>0</v>
      </c>
      <c r="AS32" s="68">
        <v>0</v>
      </c>
      <c r="AT32" s="69">
        <v>0</v>
      </c>
      <c r="AU32" s="67">
        <v>0</v>
      </c>
      <c r="AV32" s="68">
        <v>0</v>
      </c>
      <c r="AW32" s="69">
        <v>0</v>
      </c>
      <c r="AX32" s="67">
        <v>0</v>
      </c>
      <c r="AY32" s="68">
        <v>0</v>
      </c>
      <c r="AZ32" s="69">
        <v>0</v>
      </c>
      <c r="BA32" s="67">
        <v>0</v>
      </c>
      <c r="BB32" s="68">
        <v>0</v>
      </c>
      <c r="BC32" s="69">
        <v>0</v>
      </c>
      <c r="BD32" s="67">
        <v>0</v>
      </c>
      <c r="BE32" s="68">
        <v>0</v>
      </c>
      <c r="BF32" s="69">
        <v>0</v>
      </c>
      <c r="BG32" s="67">
        <v>0</v>
      </c>
      <c r="BH32" s="68">
        <v>0</v>
      </c>
      <c r="BI32" s="69">
        <v>0</v>
      </c>
      <c r="BJ32" s="67">
        <v>0</v>
      </c>
      <c r="BK32" s="68">
        <v>0</v>
      </c>
      <c r="BL32" s="69">
        <v>0</v>
      </c>
      <c r="BM32" s="70">
        <f t="shared" ref="BM32:BO32" si="31">SUM(AC32+AF32+AI32+AL32+AO32+AR32+BJ32)</f>
        <v>0</v>
      </c>
      <c r="BN32" s="71">
        <f t="shared" si="31"/>
        <v>0</v>
      </c>
      <c r="BO32" s="72">
        <f t="shared" si="31"/>
        <v>0</v>
      </c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</row>
    <row r="33" spans="1:87" ht="14.25" customHeight="1" outlineLevel="1" x14ac:dyDescent="0.25">
      <c r="A33" s="26">
        <f t="shared" si="11"/>
        <v>45645</v>
      </c>
      <c r="B33" s="58">
        <f t="shared" si="0"/>
        <v>19</v>
      </c>
      <c r="C33" s="40">
        <f t="shared" si="1"/>
        <v>5</v>
      </c>
      <c r="D33" s="73">
        <v>31516.65</v>
      </c>
      <c r="E33" s="42">
        <f t="shared" si="12"/>
        <v>1313406.8362068965</v>
      </c>
      <c r="F33" s="60">
        <v>30</v>
      </c>
      <c r="G33" s="61">
        <v>22</v>
      </c>
      <c r="H33" s="26">
        <f t="shared" si="13"/>
        <v>46010</v>
      </c>
      <c r="I33" s="58">
        <f t="shared" si="2"/>
        <v>19</v>
      </c>
      <c r="J33" s="40">
        <f t="shared" si="3"/>
        <v>6</v>
      </c>
      <c r="K33" s="59">
        <v>96573.95</v>
      </c>
      <c r="L33" s="42">
        <f t="shared" si="14"/>
        <v>1110535.96</v>
      </c>
      <c r="M33" s="60">
        <v>60</v>
      </c>
      <c r="N33" s="61">
        <v>44</v>
      </c>
      <c r="O33" s="5"/>
      <c r="P33" s="62">
        <f t="shared" si="4"/>
        <v>65057.299999999996</v>
      </c>
      <c r="Q33" s="63">
        <f t="shared" si="5"/>
        <v>2.0642200233844648</v>
      </c>
      <c r="R33" s="64">
        <f t="shared" si="6"/>
        <v>-202870.8762068965</v>
      </c>
      <c r="S33" s="65">
        <f t="shared" si="7"/>
        <v>-0.15446156561266666</v>
      </c>
      <c r="T33" s="2"/>
      <c r="U33" s="2"/>
      <c r="V33" s="2"/>
      <c r="W33" s="5"/>
      <c r="X33" s="6"/>
      <c r="Y33" s="66">
        <v>19</v>
      </c>
      <c r="Z33" s="50">
        <f t="shared" si="8"/>
        <v>18508.932666666668</v>
      </c>
      <c r="AA33" s="51">
        <f t="shared" si="9"/>
        <v>25239.453636363636</v>
      </c>
      <c r="AB33" s="6"/>
      <c r="AC33" s="67">
        <v>0</v>
      </c>
      <c r="AD33" s="68">
        <v>0</v>
      </c>
      <c r="AE33" s="69">
        <v>0</v>
      </c>
      <c r="AF33" s="67">
        <v>0</v>
      </c>
      <c r="AG33" s="68">
        <v>0</v>
      </c>
      <c r="AH33" s="69">
        <v>0</v>
      </c>
      <c r="AI33" s="67">
        <v>0</v>
      </c>
      <c r="AJ33" s="68">
        <v>0</v>
      </c>
      <c r="AK33" s="69">
        <v>0</v>
      </c>
      <c r="AL33" s="67">
        <v>0</v>
      </c>
      <c r="AM33" s="68">
        <v>0</v>
      </c>
      <c r="AN33" s="69">
        <v>0</v>
      </c>
      <c r="AO33" s="67">
        <v>0</v>
      </c>
      <c r="AP33" s="68">
        <v>0</v>
      </c>
      <c r="AQ33" s="69">
        <v>0</v>
      </c>
      <c r="AR33" s="67">
        <v>0</v>
      </c>
      <c r="AS33" s="68">
        <v>0</v>
      </c>
      <c r="AT33" s="69">
        <v>0</v>
      </c>
      <c r="AU33" s="67">
        <v>0</v>
      </c>
      <c r="AV33" s="68">
        <v>0</v>
      </c>
      <c r="AW33" s="69">
        <v>0</v>
      </c>
      <c r="AX33" s="67">
        <v>0</v>
      </c>
      <c r="AY33" s="68">
        <v>0</v>
      </c>
      <c r="AZ33" s="69">
        <v>0</v>
      </c>
      <c r="BA33" s="67">
        <v>0</v>
      </c>
      <c r="BB33" s="68">
        <v>0</v>
      </c>
      <c r="BC33" s="69">
        <v>0</v>
      </c>
      <c r="BD33" s="67">
        <v>0</v>
      </c>
      <c r="BE33" s="68">
        <v>0</v>
      </c>
      <c r="BF33" s="69">
        <v>0</v>
      </c>
      <c r="BG33" s="67">
        <v>0</v>
      </c>
      <c r="BH33" s="68">
        <v>0</v>
      </c>
      <c r="BI33" s="69">
        <v>0</v>
      </c>
      <c r="BJ33" s="67">
        <v>0</v>
      </c>
      <c r="BK33" s="68">
        <v>0</v>
      </c>
      <c r="BL33" s="69">
        <v>0</v>
      </c>
      <c r="BM33" s="70">
        <f t="shared" ref="BM33:BO33" si="32">SUM(AC33+AF33+AI33+AL33+AO33+AR33+BJ33)</f>
        <v>0</v>
      </c>
      <c r="BN33" s="71">
        <f t="shared" si="32"/>
        <v>0</v>
      </c>
      <c r="BO33" s="72">
        <f t="shared" si="32"/>
        <v>0</v>
      </c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</row>
    <row r="34" spans="1:87" ht="14.25" customHeight="1" outlineLevel="1" x14ac:dyDescent="0.25">
      <c r="A34" s="26">
        <f t="shared" si="11"/>
        <v>45646</v>
      </c>
      <c r="B34" s="58">
        <f t="shared" si="0"/>
        <v>20</v>
      </c>
      <c r="C34" s="40">
        <f t="shared" si="1"/>
        <v>6</v>
      </c>
      <c r="D34" s="73">
        <v>29458.87</v>
      </c>
      <c r="E34" s="42">
        <f t="shared" si="12"/>
        <v>1342865.7062068966</v>
      </c>
      <c r="F34" s="60">
        <v>33</v>
      </c>
      <c r="G34" s="61">
        <v>19</v>
      </c>
      <c r="H34" s="26">
        <f t="shared" si="13"/>
        <v>46011</v>
      </c>
      <c r="I34" s="58">
        <f t="shared" si="2"/>
        <v>20</v>
      </c>
      <c r="J34" s="40">
        <f t="shared" si="3"/>
        <v>7</v>
      </c>
      <c r="K34" s="59">
        <v>106886.62</v>
      </c>
      <c r="L34" s="42">
        <f t="shared" si="14"/>
        <v>1217422.58</v>
      </c>
      <c r="M34" s="60">
        <v>120</v>
      </c>
      <c r="N34" s="61">
        <v>106</v>
      </c>
      <c r="O34" s="5"/>
      <c r="P34" s="62">
        <f t="shared" si="4"/>
        <v>77427.75</v>
      </c>
      <c r="Q34" s="63">
        <f t="shared" si="5"/>
        <v>2.6283340128117607</v>
      </c>
      <c r="R34" s="64">
        <f t="shared" si="6"/>
        <v>-125443.1262068965</v>
      </c>
      <c r="S34" s="65">
        <f t="shared" si="7"/>
        <v>-9.341449828309889E-2</v>
      </c>
      <c r="T34" s="2"/>
      <c r="U34" s="2"/>
      <c r="V34" s="2"/>
      <c r="W34" s="5"/>
      <c r="X34" s="6"/>
      <c r="Y34" s="66">
        <v>20</v>
      </c>
      <c r="Z34" s="50">
        <f t="shared" si="8"/>
        <v>10145.188166666667</v>
      </c>
      <c r="AA34" s="51">
        <f t="shared" si="9"/>
        <v>11485.118679245285</v>
      </c>
      <c r="AB34" s="6"/>
      <c r="AC34" s="67">
        <v>0</v>
      </c>
      <c r="AD34" s="68">
        <v>0</v>
      </c>
      <c r="AE34" s="69">
        <v>0</v>
      </c>
      <c r="AF34" s="67">
        <v>0</v>
      </c>
      <c r="AG34" s="68">
        <v>0</v>
      </c>
      <c r="AH34" s="69">
        <v>0</v>
      </c>
      <c r="AI34" s="67">
        <v>0</v>
      </c>
      <c r="AJ34" s="68">
        <v>0</v>
      </c>
      <c r="AK34" s="69">
        <v>0</v>
      </c>
      <c r="AL34" s="67">
        <v>0</v>
      </c>
      <c r="AM34" s="68">
        <v>0</v>
      </c>
      <c r="AN34" s="69">
        <v>0</v>
      </c>
      <c r="AO34" s="67">
        <v>0</v>
      </c>
      <c r="AP34" s="68">
        <v>0</v>
      </c>
      <c r="AQ34" s="69">
        <v>0</v>
      </c>
      <c r="AR34" s="67">
        <v>0</v>
      </c>
      <c r="AS34" s="68">
        <v>0</v>
      </c>
      <c r="AT34" s="69">
        <v>0</v>
      </c>
      <c r="AU34" s="67">
        <v>0</v>
      </c>
      <c r="AV34" s="68">
        <v>0</v>
      </c>
      <c r="AW34" s="69">
        <v>0</v>
      </c>
      <c r="AX34" s="67">
        <v>0</v>
      </c>
      <c r="AY34" s="68">
        <v>0</v>
      </c>
      <c r="AZ34" s="69">
        <v>0</v>
      </c>
      <c r="BA34" s="67">
        <v>0</v>
      </c>
      <c r="BB34" s="68">
        <v>0</v>
      </c>
      <c r="BC34" s="69">
        <v>0</v>
      </c>
      <c r="BD34" s="67">
        <v>0</v>
      </c>
      <c r="BE34" s="68">
        <v>0</v>
      </c>
      <c r="BF34" s="69">
        <v>0</v>
      </c>
      <c r="BG34" s="67">
        <v>0</v>
      </c>
      <c r="BH34" s="68">
        <v>0</v>
      </c>
      <c r="BI34" s="69">
        <v>0</v>
      </c>
      <c r="BJ34" s="67">
        <v>0</v>
      </c>
      <c r="BK34" s="68">
        <v>0</v>
      </c>
      <c r="BL34" s="69">
        <v>0</v>
      </c>
      <c r="BM34" s="70">
        <f t="shared" ref="BM34:BO34" si="33">SUM(AC34+AF34+AI34+AL34+AO34+AR34+BJ34)</f>
        <v>0</v>
      </c>
      <c r="BN34" s="71">
        <f t="shared" si="33"/>
        <v>0</v>
      </c>
      <c r="BO34" s="72">
        <f t="shared" si="33"/>
        <v>0</v>
      </c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</row>
    <row r="35" spans="1:87" ht="14.25" customHeight="1" outlineLevel="1" x14ac:dyDescent="0.25">
      <c r="A35" s="26">
        <f t="shared" si="11"/>
        <v>45647</v>
      </c>
      <c r="B35" s="58">
        <f t="shared" si="0"/>
        <v>21</v>
      </c>
      <c r="C35" s="40">
        <f t="shared" si="1"/>
        <v>7</v>
      </c>
      <c r="D35" s="73">
        <v>47345.52</v>
      </c>
      <c r="E35" s="42">
        <f t="shared" si="12"/>
        <v>1390211.2262068966</v>
      </c>
      <c r="F35" s="60">
        <v>42</v>
      </c>
      <c r="G35" s="61">
        <v>30</v>
      </c>
      <c r="H35" s="26">
        <f t="shared" si="13"/>
        <v>46012</v>
      </c>
      <c r="I35" s="58">
        <f t="shared" si="2"/>
        <v>21</v>
      </c>
      <c r="J35" s="40">
        <f t="shared" si="3"/>
        <v>1</v>
      </c>
      <c r="K35" s="59">
        <v>131816.99</v>
      </c>
      <c r="L35" s="42">
        <f t="shared" si="14"/>
        <v>1349239.57</v>
      </c>
      <c r="M35" s="60">
        <v>111</v>
      </c>
      <c r="N35" s="61">
        <v>86</v>
      </c>
      <c r="O35" s="5"/>
      <c r="P35" s="62">
        <f t="shared" si="4"/>
        <v>84471.47</v>
      </c>
      <c r="Q35" s="63">
        <f t="shared" si="5"/>
        <v>1.7841491655387882</v>
      </c>
      <c r="R35" s="64">
        <f t="shared" si="6"/>
        <v>-40971.656206896529</v>
      </c>
      <c r="S35" s="65">
        <f t="shared" si="7"/>
        <v>-2.9471533127153005E-2</v>
      </c>
      <c r="T35" s="2"/>
      <c r="U35" s="2"/>
      <c r="V35" s="2"/>
      <c r="W35" s="5"/>
      <c r="X35" s="6"/>
      <c r="Y35" s="66">
        <v>21</v>
      </c>
      <c r="Z35" s="50">
        <f t="shared" si="8"/>
        <v>12155.311441441441</v>
      </c>
      <c r="AA35" s="51">
        <f t="shared" si="9"/>
        <v>15688.832209302327</v>
      </c>
      <c r="AB35" s="6"/>
      <c r="AC35" s="67">
        <v>0</v>
      </c>
      <c r="AD35" s="68">
        <v>0</v>
      </c>
      <c r="AE35" s="69">
        <v>0</v>
      </c>
      <c r="AF35" s="67">
        <v>0</v>
      </c>
      <c r="AG35" s="68">
        <v>0</v>
      </c>
      <c r="AH35" s="69">
        <v>0</v>
      </c>
      <c r="AI35" s="67">
        <v>0</v>
      </c>
      <c r="AJ35" s="68">
        <v>0</v>
      </c>
      <c r="AK35" s="69">
        <v>0</v>
      </c>
      <c r="AL35" s="67">
        <v>0</v>
      </c>
      <c r="AM35" s="68">
        <v>0</v>
      </c>
      <c r="AN35" s="69">
        <v>0</v>
      </c>
      <c r="AO35" s="67">
        <v>0</v>
      </c>
      <c r="AP35" s="68">
        <v>0</v>
      </c>
      <c r="AQ35" s="69">
        <v>0</v>
      </c>
      <c r="AR35" s="67">
        <v>0</v>
      </c>
      <c r="AS35" s="68">
        <v>0</v>
      </c>
      <c r="AT35" s="69">
        <v>0</v>
      </c>
      <c r="AU35" s="67">
        <v>0</v>
      </c>
      <c r="AV35" s="68">
        <v>0</v>
      </c>
      <c r="AW35" s="69">
        <v>0</v>
      </c>
      <c r="AX35" s="67">
        <v>0</v>
      </c>
      <c r="AY35" s="68">
        <v>0</v>
      </c>
      <c r="AZ35" s="69">
        <v>0</v>
      </c>
      <c r="BA35" s="67">
        <v>0</v>
      </c>
      <c r="BB35" s="68">
        <v>0</v>
      </c>
      <c r="BC35" s="69">
        <v>0</v>
      </c>
      <c r="BD35" s="67">
        <v>0</v>
      </c>
      <c r="BE35" s="68">
        <v>0</v>
      </c>
      <c r="BF35" s="69">
        <v>0</v>
      </c>
      <c r="BG35" s="67">
        <v>0</v>
      </c>
      <c r="BH35" s="68">
        <v>0</v>
      </c>
      <c r="BI35" s="69">
        <v>0</v>
      </c>
      <c r="BJ35" s="67">
        <v>0</v>
      </c>
      <c r="BK35" s="68">
        <v>0</v>
      </c>
      <c r="BL35" s="69">
        <v>0</v>
      </c>
      <c r="BM35" s="70">
        <f t="shared" ref="BM35:BO35" si="34">SUM(AC35+AF35+AI35+AL35+AO35+AR35+BJ35)</f>
        <v>0</v>
      </c>
      <c r="BN35" s="71">
        <f t="shared" si="34"/>
        <v>0</v>
      </c>
      <c r="BO35" s="72">
        <f t="shared" si="34"/>
        <v>0</v>
      </c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</row>
    <row r="36" spans="1:87" ht="14.25" customHeight="1" outlineLevel="1" x14ac:dyDescent="0.25">
      <c r="A36" s="26">
        <f t="shared" si="11"/>
        <v>45648</v>
      </c>
      <c r="B36" s="58">
        <f t="shared" si="0"/>
        <v>22</v>
      </c>
      <c r="C36" s="40">
        <f t="shared" si="1"/>
        <v>1</v>
      </c>
      <c r="D36" s="73">
        <v>37924.57</v>
      </c>
      <c r="E36" s="42">
        <f t="shared" si="12"/>
        <v>1428135.7962068967</v>
      </c>
      <c r="F36" s="60">
        <v>37</v>
      </c>
      <c r="G36" s="61">
        <v>19</v>
      </c>
      <c r="H36" s="26">
        <f t="shared" si="13"/>
        <v>46013</v>
      </c>
      <c r="I36" s="58">
        <f t="shared" si="2"/>
        <v>22</v>
      </c>
      <c r="J36" s="40">
        <f t="shared" si="3"/>
        <v>2</v>
      </c>
      <c r="K36" s="59">
        <v>137741.15</v>
      </c>
      <c r="L36" s="42">
        <f t="shared" si="14"/>
        <v>1486980.72</v>
      </c>
      <c r="M36" s="60">
        <v>120</v>
      </c>
      <c r="N36" s="61">
        <v>87</v>
      </c>
      <c r="O36" s="5"/>
      <c r="P36" s="62">
        <f t="shared" si="4"/>
        <v>99816.579999999987</v>
      </c>
      <c r="Q36" s="63">
        <f t="shared" si="5"/>
        <v>2.6319765787720204</v>
      </c>
      <c r="R36" s="64">
        <f t="shared" si="6"/>
        <v>58844.923793103313</v>
      </c>
      <c r="S36" s="65">
        <f t="shared" si="7"/>
        <v>4.1204011515847627E-2</v>
      </c>
      <c r="T36" s="2"/>
      <c r="U36" s="2"/>
      <c r="V36" s="2"/>
      <c r="W36" s="5"/>
      <c r="X36" s="6"/>
      <c r="Y36" s="66">
        <v>22</v>
      </c>
      <c r="Z36" s="50">
        <f t="shared" si="8"/>
        <v>12391.505999999999</v>
      </c>
      <c r="AA36" s="51">
        <f t="shared" si="9"/>
        <v>17091.732413793103</v>
      </c>
      <c r="AB36" s="6"/>
      <c r="AC36" s="67">
        <v>0</v>
      </c>
      <c r="AD36" s="68">
        <v>0</v>
      </c>
      <c r="AE36" s="69">
        <v>0</v>
      </c>
      <c r="AF36" s="67">
        <v>0</v>
      </c>
      <c r="AG36" s="68">
        <v>0</v>
      </c>
      <c r="AH36" s="69">
        <v>0</v>
      </c>
      <c r="AI36" s="67">
        <v>0</v>
      </c>
      <c r="AJ36" s="68">
        <v>0</v>
      </c>
      <c r="AK36" s="69">
        <v>0</v>
      </c>
      <c r="AL36" s="67">
        <v>0</v>
      </c>
      <c r="AM36" s="68">
        <v>0</v>
      </c>
      <c r="AN36" s="69">
        <v>0</v>
      </c>
      <c r="AO36" s="67">
        <v>0</v>
      </c>
      <c r="AP36" s="68">
        <v>0</v>
      </c>
      <c r="AQ36" s="69">
        <v>0</v>
      </c>
      <c r="AR36" s="67">
        <v>0</v>
      </c>
      <c r="AS36" s="68">
        <v>0</v>
      </c>
      <c r="AT36" s="69">
        <v>0</v>
      </c>
      <c r="AU36" s="67">
        <v>0</v>
      </c>
      <c r="AV36" s="68">
        <v>0</v>
      </c>
      <c r="AW36" s="69">
        <v>0</v>
      </c>
      <c r="AX36" s="67">
        <v>0</v>
      </c>
      <c r="AY36" s="68">
        <v>0</v>
      </c>
      <c r="AZ36" s="69">
        <v>0</v>
      </c>
      <c r="BA36" s="67">
        <v>0</v>
      </c>
      <c r="BB36" s="68">
        <v>0</v>
      </c>
      <c r="BC36" s="69">
        <v>0</v>
      </c>
      <c r="BD36" s="67">
        <v>0</v>
      </c>
      <c r="BE36" s="68">
        <v>0</v>
      </c>
      <c r="BF36" s="69">
        <v>0</v>
      </c>
      <c r="BG36" s="67">
        <v>0</v>
      </c>
      <c r="BH36" s="68">
        <v>0</v>
      </c>
      <c r="BI36" s="69">
        <v>0</v>
      </c>
      <c r="BJ36" s="67">
        <v>0</v>
      </c>
      <c r="BK36" s="68">
        <v>0</v>
      </c>
      <c r="BL36" s="69">
        <v>0</v>
      </c>
      <c r="BM36" s="70">
        <f t="shared" ref="BM36:BO36" si="35">SUM(AC36+AF36+AI36+AL36+AO36+AR36+BJ36)</f>
        <v>0</v>
      </c>
      <c r="BN36" s="71">
        <f t="shared" si="35"/>
        <v>0</v>
      </c>
      <c r="BO36" s="72">
        <f t="shared" si="35"/>
        <v>0</v>
      </c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</row>
    <row r="37" spans="1:87" ht="14.25" customHeight="1" outlineLevel="1" x14ac:dyDescent="0.25">
      <c r="A37" s="26">
        <f t="shared" si="11"/>
        <v>45649</v>
      </c>
      <c r="B37" s="58">
        <f t="shared" si="0"/>
        <v>23</v>
      </c>
      <c r="C37" s="40">
        <f t="shared" si="1"/>
        <v>2</v>
      </c>
      <c r="D37" s="73">
        <v>77592.23</v>
      </c>
      <c r="E37" s="42">
        <f t="shared" si="12"/>
        <v>1505728.0262068966</v>
      </c>
      <c r="F37" s="60">
        <v>91</v>
      </c>
      <c r="G37" s="61">
        <v>45</v>
      </c>
      <c r="H37" s="26">
        <f t="shared" si="13"/>
        <v>46014</v>
      </c>
      <c r="I37" s="58">
        <f t="shared" si="2"/>
        <v>23</v>
      </c>
      <c r="J37" s="40">
        <f t="shared" si="3"/>
        <v>3</v>
      </c>
      <c r="K37" s="59">
        <v>168257.25</v>
      </c>
      <c r="L37" s="42">
        <f t="shared" si="14"/>
        <v>1655237.97</v>
      </c>
      <c r="M37" s="60">
        <v>130</v>
      </c>
      <c r="N37" s="61">
        <v>103</v>
      </c>
      <c r="O37" s="5"/>
      <c r="P37" s="62">
        <f t="shared" si="4"/>
        <v>90665.02</v>
      </c>
      <c r="Q37" s="63">
        <f t="shared" si="5"/>
        <v>1.1684806584370628</v>
      </c>
      <c r="R37" s="64">
        <f t="shared" si="6"/>
        <v>149509.94379310333</v>
      </c>
      <c r="S37" s="65">
        <f t="shared" si="7"/>
        <v>9.9294122969694643E-2</v>
      </c>
      <c r="T37" s="2"/>
      <c r="U37" s="2"/>
      <c r="V37" s="2"/>
      <c r="W37" s="5"/>
      <c r="X37" s="6"/>
      <c r="Y37" s="66">
        <v>23</v>
      </c>
      <c r="Z37" s="50">
        <f t="shared" si="8"/>
        <v>12732.599769230768</v>
      </c>
      <c r="AA37" s="51">
        <f t="shared" si="9"/>
        <v>16070.271553398057</v>
      </c>
      <c r="AB37" s="6"/>
      <c r="AC37" s="67">
        <v>0</v>
      </c>
      <c r="AD37" s="68">
        <v>0</v>
      </c>
      <c r="AE37" s="69">
        <v>0</v>
      </c>
      <c r="AF37" s="67">
        <v>0</v>
      </c>
      <c r="AG37" s="68">
        <v>0</v>
      </c>
      <c r="AH37" s="69">
        <v>0</v>
      </c>
      <c r="AI37" s="67">
        <v>0</v>
      </c>
      <c r="AJ37" s="68">
        <v>0</v>
      </c>
      <c r="AK37" s="69">
        <v>0</v>
      </c>
      <c r="AL37" s="67">
        <v>0</v>
      </c>
      <c r="AM37" s="68">
        <v>0</v>
      </c>
      <c r="AN37" s="69">
        <v>0</v>
      </c>
      <c r="AO37" s="67">
        <v>0</v>
      </c>
      <c r="AP37" s="68">
        <v>0</v>
      </c>
      <c r="AQ37" s="69">
        <v>0</v>
      </c>
      <c r="AR37" s="67">
        <v>0</v>
      </c>
      <c r="AS37" s="68">
        <v>0</v>
      </c>
      <c r="AT37" s="69">
        <v>0</v>
      </c>
      <c r="AU37" s="67">
        <v>0</v>
      </c>
      <c r="AV37" s="68">
        <v>0</v>
      </c>
      <c r="AW37" s="69">
        <v>0</v>
      </c>
      <c r="AX37" s="67">
        <v>0</v>
      </c>
      <c r="AY37" s="68">
        <v>0</v>
      </c>
      <c r="AZ37" s="69">
        <v>0</v>
      </c>
      <c r="BA37" s="67">
        <v>0</v>
      </c>
      <c r="BB37" s="68">
        <v>0</v>
      </c>
      <c r="BC37" s="69">
        <v>0</v>
      </c>
      <c r="BD37" s="67">
        <v>0</v>
      </c>
      <c r="BE37" s="68">
        <v>0</v>
      </c>
      <c r="BF37" s="69">
        <v>0</v>
      </c>
      <c r="BG37" s="67">
        <v>0</v>
      </c>
      <c r="BH37" s="68">
        <v>0</v>
      </c>
      <c r="BI37" s="69">
        <v>0</v>
      </c>
      <c r="BJ37" s="67">
        <v>0</v>
      </c>
      <c r="BK37" s="68">
        <v>0</v>
      </c>
      <c r="BL37" s="69">
        <v>0</v>
      </c>
      <c r="BM37" s="70">
        <f t="shared" ref="BM37:BO37" si="36">SUM(AC37+AF37+AI37+AL37+AO37+AR37+BJ37)</f>
        <v>0</v>
      </c>
      <c r="BN37" s="71">
        <f t="shared" si="36"/>
        <v>0</v>
      </c>
      <c r="BO37" s="72">
        <f t="shared" si="36"/>
        <v>0</v>
      </c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</row>
    <row r="38" spans="1:87" ht="14.25" customHeight="1" outlineLevel="1" x14ac:dyDescent="0.25">
      <c r="A38" s="26">
        <f t="shared" si="11"/>
        <v>45650</v>
      </c>
      <c r="B38" s="58">
        <f t="shared" si="0"/>
        <v>24</v>
      </c>
      <c r="C38" s="40">
        <f t="shared" si="1"/>
        <v>3</v>
      </c>
      <c r="D38" s="73">
        <v>80812.39</v>
      </c>
      <c r="E38" s="42">
        <f t="shared" si="12"/>
        <v>1586540.4162068965</v>
      </c>
      <c r="F38" s="60">
        <v>88</v>
      </c>
      <c r="G38" s="61">
        <v>39</v>
      </c>
      <c r="H38" s="26">
        <f t="shared" si="13"/>
        <v>46015</v>
      </c>
      <c r="I38" s="58">
        <f t="shared" si="2"/>
        <v>24</v>
      </c>
      <c r="J38" s="40">
        <f t="shared" si="3"/>
        <v>4</v>
      </c>
      <c r="K38" s="59">
        <v>138228.75</v>
      </c>
      <c r="L38" s="42">
        <f t="shared" si="14"/>
        <v>1793466.72</v>
      </c>
      <c r="M38" s="60">
        <v>128</v>
      </c>
      <c r="N38" s="61">
        <v>99</v>
      </c>
      <c r="O38" s="5"/>
      <c r="P38" s="62">
        <f t="shared" si="4"/>
        <v>57416.36</v>
      </c>
      <c r="Q38" s="63">
        <f t="shared" si="5"/>
        <v>0.71048956725571411</v>
      </c>
      <c r="R38" s="64">
        <f t="shared" si="6"/>
        <v>206926.30379310343</v>
      </c>
      <c r="S38" s="65">
        <f t="shared" si="7"/>
        <v>0.13042611564086282</v>
      </c>
      <c r="T38" s="2"/>
      <c r="U38" s="2"/>
      <c r="V38" s="2"/>
      <c r="W38" s="5"/>
      <c r="X38" s="6"/>
      <c r="Y38" s="66">
        <v>24</v>
      </c>
      <c r="Z38" s="50">
        <f t="shared" si="8"/>
        <v>14011.45875</v>
      </c>
      <c r="AA38" s="51">
        <f t="shared" si="9"/>
        <v>18115.825454545455</v>
      </c>
      <c r="AB38" s="6"/>
      <c r="AC38" s="67">
        <v>0</v>
      </c>
      <c r="AD38" s="68">
        <v>0</v>
      </c>
      <c r="AE38" s="69">
        <v>0</v>
      </c>
      <c r="AF38" s="67">
        <v>0</v>
      </c>
      <c r="AG38" s="68">
        <v>0</v>
      </c>
      <c r="AH38" s="69">
        <v>0</v>
      </c>
      <c r="AI38" s="67">
        <v>0</v>
      </c>
      <c r="AJ38" s="68">
        <v>0</v>
      </c>
      <c r="AK38" s="69">
        <v>0</v>
      </c>
      <c r="AL38" s="67">
        <v>0</v>
      </c>
      <c r="AM38" s="68">
        <v>0</v>
      </c>
      <c r="AN38" s="69">
        <v>0</v>
      </c>
      <c r="AO38" s="67">
        <v>0</v>
      </c>
      <c r="AP38" s="68">
        <v>0</v>
      </c>
      <c r="AQ38" s="69">
        <v>0</v>
      </c>
      <c r="AR38" s="67">
        <v>0</v>
      </c>
      <c r="AS38" s="68">
        <v>0</v>
      </c>
      <c r="AT38" s="69">
        <v>0</v>
      </c>
      <c r="AU38" s="67">
        <v>0</v>
      </c>
      <c r="AV38" s="68">
        <v>0</v>
      </c>
      <c r="AW38" s="69">
        <v>0</v>
      </c>
      <c r="AX38" s="67">
        <v>0</v>
      </c>
      <c r="AY38" s="68">
        <v>0</v>
      </c>
      <c r="AZ38" s="69">
        <v>0</v>
      </c>
      <c r="BA38" s="67">
        <v>0</v>
      </c>
      <c r="BB38" s="68">
        <v>0</v>
      </c>
      <c r="BC38" s="69">
        <v>0</v>
      </c>
      <c r="BD38" s="67">
        <v>0</v>
      </c>
      <c r="BE38" s="68">
        <v>0</v>
      </c>
      <c r="BF38" s="69">
        <v>0</v>
      </c>
      <c r="BG38" s="67">
        <v>0</v>
      </c>
      <c r="BH38" s="68">
        <v>0</v>
      </c>
      <c r="BI38" s="69">
        <v>0</v>
      </c>
      <c r="BJ38" s="67">
        <v>0</v>
      </c>
      <c r="BK38" s="68">
        <v>0</v>
      </c>
      <c r="BL38" s="69">
        <v>0</v>
      </c>
      <c r="BM38" s="70">
        <f t="shared" ref="BM38:BO38" si="37">SUM(AC38+AF38+AI38+AL38+AO38+AR38+BJ38)</f>
        <v>0</v>
      </c>
      <c r="BN38" s="71">
        <f t="shared" si="37"/>
        <v>0</v>
      </c>
      <c r="BO38" s="72">
        <f t="shared" si="37"/>
        <v>0</v>
      </c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</row>
    <row r="39" spans="1:87" ht="14.25" customHeight="1" outlineLevel="1" x14ac:dyDescent="0.25">
      <c r="A39" s="26">
        <f t="shared" si="11"/>
        <v>45651</v>
      </c>
      <c r="B39" s="58">
        <f t="shared" si="0"/>
        <v>25</v>
      </c>
      <c r="C39" s="40">
        <f t="shared" si="1"/>
        <v>4</v>
      </c>
      <c r="D39" s="73">
        <v>45822.69</v>
      </c>
      <c r="E39" s="42">
        <f t="shared" si="12"/>
        <v>1632363.1062068965</v>
      </c>
      <c r="F39" s="60">
        <v>43</v>
      </c>
      <c r="G39" s="61">
        <v>23</v>
      </c>
      <c r="H39" s="26">
        <f t="shared" si="13"/>
        <v>46016</v>
      </c>
      <c r="I39" s="58">
        <f t="shared" si="2"/>
        <v>25</v>
      </c>
      <c r="J39" s="40">
        <f t="shared" si="3"/>
        <v>5</v>
      </c>
      <c r="K39" s="59">
        <v>0</v>
      </c>
      <c r="L39" s="42">
        <f t="shared" si="14"/>
        <v>1793466.72</v>
      </c>
      <c r="M39" s="60"/>
      <c r="N39" s="61"/>
      <c r="O39" s="5"/>
      <c r="P39" s="62">
        <f t="shared" si="4"/>
        <v>-45822.69</v>
      </c>
      <c r="Q39" s="63">
        <f t="shared" si="5"/>
        <v>-1</v>
      </c>
      <c r="R39" s="64">
        <f t="shared" si="6"/>
        <v>161103.61379310349</v>
      </c>
      <c r="S39" s="65">
        <f t="shared" si="7"/>
        <v>9.8693491160467328E-2</v>
      </c>
      <c r="T39" s="2"/>
      <c r="U39" s="2"/>
      <c r="V39" s="2"/>
      <c r="W39" s="5"/>
      <c r="X39" s="6"/>
      <c r="Y39" s="66">
        <v>25</v>
      </c>
      <c r="Z39" s="50" t="str">
        <f t="shared" si="8"/>
        <v xml:space="preserve"> </v>
      </c>
      <c r="AA39" s="51" t="str">
        <f t="shared" si="9"/>
        <v xml:space="preserve"> </v>
      </c>
      <c r="AB39" s="6"/>
      <c r="AC39" s="67">
        <v>0</v>
      </c>
      <c r="AD39" s="68">
        <v>0</v>
      </c>
      <c r="AE39" s="69">
        <v>0</v>
      </c>
      <c r="AF39" s="67">
        <v>0</v>
      </c>
      <c r="AG39" s="68">
        <v>0</v>
      </c>
      <c r="AH39" s="69">
        <v>0</v>
      </c>
      <c r="AI39" s="67">
        <v>0</v>
      </c>
      <c r="AJ39" s="68">
        <v>0</v>
      </c>
      <c r="AK39" s="69">
        <v>0</v>
      </c>
      <c r="AL39" s="67">
        <v>0</v>
      </c>
      <c r="AM39" s="68">
        <v>0</v>
      </c>
      <c r="AN39" s="69">
        <v>0</v>
      </c>
      <c r="AO39" s="67">
        <v>0</v>
      </c>
      <c r="AP39" s="68">
        <v>0</v>
      </c>
      <c r="AQ39" s="69">
        <v>0</v>
      </c>
      <c r="AR39" s="67">
        <v>0</v>
      </c>
      <c r="AS39" s="68">
        <v>0</v>
      </c>
      <c r="AT39" s="69">
        <v>0</v>
      </c>
      <c r="AU39" s="67">
        <v>0</v>
      </c>
      <c r="AV39" s="68">
        <v>0</v>
      </c>
      <c r="AW39" s="69">
        <v>0</v>
      </c>
      <c r="AX39" s="67">
        <v>0</v>
      </c>
      <c r="AY39" s="68">
        <v>0</v>
      </c>
      <c r="AZ39" s="69">
        <v>0</v>
      </c>
      <c r="BA39" s="67">
        <v>0</v>
      </c>
      <c r="BB39" s="68">
        <v>0</v>
      </c>
      <c r="BC39" s="69">
        <v>0</v>
      </c>
      <c r="BD39" s="67">
        <v>0</v>
      </c>
      <c r="BE39" s="68">
        <v>0</v>
      </c>
      <c r="BF39" s="69">
        <v>0</v>
      </c>
      <c r="BG39" s="67">
        <v>0</v>
      </c>
      <c r="BH39" s="68">
        <v>0</v>
      </c>
      <c r="BI39" s="69">
        <v>0</v>
      </c>
      <c r="BJ39" s="67">
        <v>0</v>
      </c>
      <c r="BK39" s="68">
        <v>0</v>
      </c>
      <c r="BL39" s="69">
        <v>0</v>
      </c>
      <c r="BM39" s="70">
        <f t="shared" ref="BM39:BO39" si="38">SUM(AC39+AF39+AI39+AL39+AO39+AR39+BJ39)</f>
        <v>0</v>
      </c>
      <c r="BN39" s="71">
        <f t="shared" si="38"/>
        <v>0</v>
      </c>
      <c r="BO39" s="72">
        <f t="shared" si="38"/>
        <v>0</v>
      </c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</row>
    <row r="40" spans="1:87" ht="14.25" customHeight="1" outlineLevel="1" x14ac:dyDescent="0.25">
      <c r="A40" s="26">
        <f t="shared" si="11"/>
        <v>45652</v>
      </c>
      <c r="B40" s="58">
        <f t="shared" si="0"/>
        <v>26</v>
      </c>
      <c r="C40" s="40">
        <f t="shared" si="1"/>
        <v>5</v>
      </c>
      <c r="D40" s="73">
        <v>9948.7099999999991</v>
      </c>
      <c r="E40" s="42">
        <f t="shared" si="12"/>
        <v>1642311.8162068964</v>
      </c>
      <c r="F40" s="60">
        <v>13</v>
      </c>
      <c r="G40" s="61">
        <v>9</v>
      </c>
      <c r="H40" s="26">
        <f t="shared" si="13"/>
        <v>46017</v>
      </c>
      <c r="I40" s="58">
        <f t="shared" si="2"/>
        <v>26</v>
      </c>
      <c r="J40" s="40">
        <f t="shared" si="3"/>
        <v>6</v>
      </c>
      <c r="K40" s="59">
        <v>77017.48</v>
      </c>
      <c r="L40" s="42">
        <f t="shared" si="14"/>
        <v>1870484.2</v>
      </c>
      <c r="M40" s="60">
        <v>82</v>
      </c>
      <c r="N40" s="61">
        <v>52</v>
      </c>
      <c r="O40" s="5"/>
      <c r="P40" s="62">
        <f t="shared" si="4"/>
        <v>67068.76999999999</v>
      </c>
      <c r="Q40" s="63">
        <f t="shared" si="5"/>
        <v>6.7414539171410164</v>
      </c>
      <c r="R40" s="64">
        <f t="shared" si="6"/>
        <v>228172.38379310351</v>
      </c>
      <c r="S40" s="65">
        <f t="shared" si="7"/>
        <v>0.13893365531528179</v>
      </c>
      <c r="T40" s="2"/>
      <c r="U40" s="2"/>
      <c r="V40" s="2"/>
      <c r="W40" s="5"/>
      <c r="X40" s="6"/>
      <c r="Y40" s="66">
        <v>26</v>
      </c>
      <c r="Z40" s="50">
        <f t="shared" si="8"/>
        <v>22810.782926829266</v>
      </c>
      <c r="AA40" s="51">
        <f t="shared" si="9"/>
        <v>35970.85</v>
      </c>
      <c r="AB40" s="6"/>
      <c r="AC40" s="67">
        <v>0</v>
      </c>
      <c r="AD40" s="68">
        <v>0</v>
      </c>
      <c r="AE40" s="69">
        <v>0</v>
      </c>
      <c r="AF40" s="67">
        <v>0</v>
      </c>
      <c r="AG40" s="68">
        <v>0</v>
      </c>
      <c r="AH40" s="69">
        <v>0</v>
      </c>
      <c r="AI40" s="67">
        <v>0</v>
      </c>
      <c r="AJ40" s="68">
        <v>0</v>
      </c>
      <c r="AK40" s="69">
        <v>0</v>
      </c>
      <c r="AL40" s="67">
        <v>0</v>
      </c>
      <c r="AM40" s="68">
        <v>0</v>
      </c>
      <c r="AN40" s="69">
        <v>0</v>
      </c>
      <c r="AO40" s="67">
        <v>0</v>
      </c>
      <c r="AP40" s="68">
        <v>0</v>
      </c>
      <c r="AQ40" s="69">
        <v>0</v>
      </c>
      <c r="AR40" s="67">
        <v>0</v>
      </c>
      <c r="AS40" s="68">
        <v>0</v>
      </c>
      <c r="AT40" s="69">
        <v>0</v>
      </c>
      <c r="AU40" s="67">
        <v>0</v>
      </c>
      <c r="AV40" s="68">
        <v>0</v>
      </c>
      <c r="AW40" s="69">
        <v>0</v>
      </c>
      <c r="AX40" s="67">
        <v>0</v>
      </c>
      <c r="AY40" s="68">
        <v>0</v>
      </c>
      <c r="AZ40" s="69">
        <v>0</v>
      </c>
      <c r="BA40" s="67">
        <v>0</v>
      </c>
      <c r="BB40" s="68">
        <v>0</v>
      </c>
      <c r="BC40" s="69">
        <v>0</v>
      </c>
      <c r="BD40" s="67">
        <v>0</v>
      </c>
      <c r="BE40" s="68">
        <v>0</v>
      </c>
      <c r="BF40" s="69">
        <v>0</v>
      </c>
      <c r="BG40" s="67">
        <v>0</v>
      </c>
      <c r="BH40" s="68">
        <v>0</v>
      </c>
      <c r="BI40" s="69">
        <v>0</v>
      </c>
      <c r="BJ40" s="67">
        <v>0</v>
      </c>
      <c r="BK40" s="68">
        <v>0</v>
      </c>
      <c r="BL40" s="69">
        <v>0</v>
      </c>
      <c r="BM40" s="70">
        <f t="shared" ref="BM40:BO40" si="39">SUM(AC40+AF40+AI40+AL40+AO40+AR40+BJ40)</f>
        <v>0</v>
      </c>
      <c r="BN40" s="71">
        <f t="shared" si="39"/>
        <v>0</v>
      </c>
      <c r="BO40" s="72">
        <f t="shared" si="39"/>
        <v>0</v>
      </c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</row>
    <row r="41" spans="1:87" ht="14.25" customHeight="1" outlineLevel="1" x14ac:dyDescent="0.25">
      <c r="A41" s="26">
        <f t="shared" si="11"/>
        <v>45653</v>
      </c>
      <c r="B41" s="58">
        <f t="shared" si="0"/>
        <v>27</v>
      </c>
      <c r="C41" s="40">
        <f t="shared" si="1"/>
        <v>6</v>
      </c>
      <c r="D41" s="73">
        <v>11933.97</v>
      </c>
      <c r="E41" s="42">
        <f t="shared" si="12"/>
        <v>1654245.7862068964</v>
      </c>
      <c r="F41" s="60">
        <v>14</v>
      </c>
      <c r="G41" s="61">
        <v>11</v>
      </c>
      <c r="H41" s="26">
        <f t="shared" si="13"/>
        <v>46018</v>
      </c>
      <c r="I41" s="58">
        <f t="shared" si="2"/>
        <v>27</v>
      </c>
      <c r="J41" s="40">
        <f t="shared" si="3"/>
        <v>7</v>
      </c>
      <c r="K41" s="59">
        <v>97089.48</v>
      </c>
      <c r="L41" s="42">
        <f t="shared" si="14"/>
        <v>1967573.68</v>
      </c>
      <c r="M41" s="60">
        <v>98</v>
      </c>
      <c r="N41" s="61">
        <v>79</v>
      </c>
      <c r="O41" s="5"/>
      <c r="P41" s="62">
        <f t="shared" si="4"/>
        <v>85155.51</v>
      </c>
      <c r="Q41" s="63">
        <f t="shared" si="5"/>
        <v>7.1355558963194987</v>
      </c>
      <c r="R41" s="64">
        <f t="shared" si="6"/>
        <v>313327.89379310352</v>
      </c>
      <c r="S41" s="65">
        <f t="shared" si="7"/>
        <v>0.18940830703975919</v>
      </c>
      <c r="T41" s="2"/>
      <c r="U41" s="2"/>
      <c r="V41" s="2"/>
      <c r="W41" s="5"/>
      <c r="X41" s="6"/>
      <c r="Y41" s="66">
        <v>27</v>
      </c>
      <c r="Z41" s="50">
        <f t="shared" si="8"/>
        <v>20077.282448979589</v>
      </c>
      <c r="AA41" s="51">
        <f t="shared" si="9"/>
        <v>24905.995949367087</v>
      </c>
      <c r="AB41" s="6"/>
      <c r="AC41" s="67">
        <v>0</v>
      </c>
      <c r="AD41" s="68">
        <v>0</v>
      </c>
      <c r="AE41" s="69">
        <v>0</v>
      </c>
      <c r="AF41" s="67">
        <v>0</v>
      </c>
      <c r="AG41" s="68">
        <v>0</v>
      </c>
      <c r="AH41" s="69">
        <v>0</v>
      </c>
      <c r="AI41" s="67">
        <v>0</v>
      </c>
      <c r="AJ41" s="68">
        <v>0</v>
      </c>
      <c r="AK41" s="69">
        <v>0</v>
      </c>
      <c r="AL41" s="67">
        <v>0</v>
      </c>
      <c r="AM41" s="68">
        <v>0</v>
      </c>
      <c r="AN41" s="69">
        <v>0</v>
      </c>
      <c r="AO41" s="67">
        <v>0</v>
      </c>
      <c r="AP41" s="68">
        <v>0</v>
      </c>
      <c r="AQ41" s="69">
        <v>0</v>
      </c>
      <c r="AR41" s="67">
        <v>0</v>
      </c>
      <c r="AS41" s="68">
        <v>0</v>
      </c>
      <c r="AT41" s="69">
        <v>0</v>
      </c>
      <c r="AU41" s="67">
        <v>0</v>
      </c>
      <c r="AV41" s="68">
        <v>0</v>
      </c>
      <c r="AW41" s="69">
        <v>0</v>
      </c>
      <c r="AX41" s="67">
        <v>0</v>
      </c>
      <c r="AY41" s="68">
        <v>0</v>
      </c>
      <c r="AZ41" s="69">
        <v>0</v>
      </c>
      <c r="BA41" s="67">
        <v>0</v>
      </c>
      <c r="BB41" s="68">
        <v>0</v>
      </c>
      <c r="BC41" s="69">
        <v>0</v>
      </c>
      <c r="BD41" s="67">
        <v>0</v>
      </c>
      <c r="BE41" s="68">
        <v>0</v>
      </c>
      <c r="BF41" s="69">
        <v>0</v>
      </c>
      <c r="BG41" s="67">
        <v>0</v>
      </c>
      <c r="BH41" s="68">
        <v>0</v>
      </c>
      <c r="BI41" s="69">
        <v>0</v>
      </c>
      <c r="BJ41" s="67">
        <v>0</v>
      </c>
      <c r="BK41" s="68">
        <v>0</v>
      </c>
      <c r="BL41" s="69">
        <v>0</v>
      </c>
      <c r="BM41" s="70">
        <f t="shared" ref="BM41:BO41" si="40">SUM(AC41+AF41+AI41+AL41+AO41+AR41+BJ41)</f>
        <v>0</v>
      </c>
      <c r="BN41" s="71">
        <f t="shared" si="40"/>
        <v>0</v>
      </c>
      <c r="BO41" s="72">
        <f t="shared" si="40"/>
        <v>0</v>
      </c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</row>
    <row r="42" spans="1:87" ht="14.25" customHeight="1" outlineLevel="1" x14ac:dyDescent="0.25">
      <c r="A42" s="26">
        <f t="shared" si="11"/>
        <v>45654</v>
      </c>
      <c r="B42" s="58">
        <f t="shared" si="0"/>
        <v>28</v>
      </c>
      <c r="C42" s="40">
        <f t="shared" si="1"/>
        <v>7</v>
      </c>
      <c r="D42" s="73">
        <v>31242.92</v>
      </c>
      <c r="E42" s="42">
        <f t="shared" si="12"/>
        <v>1685488.7062068963</v>
      </c>
      <c r="F42" s="60">
        <v>29</v>
      </c>
      <c r="G42" s="61">
        <v>18</v>
      </c>
      <c r="H42" s="26">
        <f t="shared" si="13"/>
        <v>46019</v>
      </c>
      <c r="I42" s="58">
        <f t="shared" si="2"/>
        <v>28</v>
      </c>
      <c r="J42" s="40">
        <f t="shared" si="3"/>
        <v>1</v>
      </c>
      <c r="K42" s="59">
        <v>89699.12</v>
      </c>
      <c r="L42" s="42">
        <f t="shared" si="14"/>
        <v>2057272.7999999998</v>
      </c>
      <c r="M42" s="60">
        <v>104</v>
      </c>
      <c r="N42" s="61">
        <v>72</v>
      </c>
      <c r="O42" s="5"/>
      <c r="P42" s="62">
        <f t="shared" si="4"/>
        <v>58456.2</v>
      </c>
      <c r="Q42" s="63">
        <f t="shared" si="5"/>
        <v>1.8710222988120186</v>
      </c>
      <c r="R42" s="64">
        <f t="shared" si="6"/>
        <v>371784.09379310347</v>
      </c>
      <c r="S42" s="65">
        <f t="shared" si="7"/>
        <v>0.22057940372070717</v>
      </c>
      <c r="T42" s="2"/>
      <c r="U42" s="2"/>
      <c r="V42" s="2"/>
      <c r="W42" s="5"/>
      <c r="X42" s="6"/>
      <c r="Y42" s="66">
        <v>28</v>
      </c>
      <c r="Z42" s="50">
        <f t="shared" si="8"/>
        <v>19781.469230769228</v>
      </c>
      <c r="AA42" s="51">
        <f t="shared" si="9"/>
        <v>28573.23333333333</v>
      </c>
      <c r="AB42" s="6"/>
      <c r="AC42" s="67">
        <v>0</v>
      </c>
      <c r="AD42" s="68">
        <v>0</v>
      </c>
      <c r="AE42" s="69">
        <v>0</v>
      </c>
      <c r="AF42" s="67">
        <v>0</v>
      </c>
      <c r="AG42" s="68">
        <v>0</v>
      </c>
      <c r="AH42" s="69">
        <v>0</v>
      </c>
      <c r="AI42" s="67">
        <v>0</v>
      </c>
      <c r="AJ42" s="68">
        <v>0</v>
      </c>
      <c r="AK42" s="69">
        <v>0</v>
      </c>
      <c r="AL42" s="67">
        <v>0</v>
      </c>
      <c r="AM42" s="68">
        <v>0</v>
      </c>
      <c r="AN42" s="69">
        <v>0</v>
      </c>
      <c r="AO42" s="67">
        <v>0</v>
      </c>
      <c r="AP42" s="68">
        <v>0</v>
      </c>
      <c r="AQ42" s="69">
        <v>0</v>
      </c>
      <c r="AR42" s="67">
        <v>0</v>
      </c>
      <c r="AS42" s="68">
        <v>0</v>
      </c>
      <c r="AT42" s="69">
        <v>0</v>
      </c>
      <c r="AU42" s="67">
        <v>0</v>
      </c>
      <c r="AV42" s="68">
        <v>0</v>
      </c>
      <c r="AW42" s="69">
        <v>0</v>
      </c>
      <c r="AX42" s="67">
        <v>0</v>
      </c>
      <c r="AY42" s="68">
        <v>0</v>
      </c>
      <c r="AZ42" s="69">
        <v>0</v>
      </c>
      <c r="BA42" s="67">
        <v>0</v>
      </c>
      <c r="BB42" s="68">
        <v>0</v>
      </c>
      <c r="BC42" s="69">
        <v>0</v>
      </c>
      <c r="BD42" s="67">
        <v>0</v>
      </c>
      <c r="BE42" s="68">
        <v>0</v>
      </c>
      <c r="BF42" s="69">
        <v>0</v>
      </c>
      <c r="BG42" s="67">
        <v>0</v>
      </c>
      <c r="BH42" s="68">
        <v>0</v>
      </c>
      <c r="BI42" s="69">
        <v>0</v>
      </c>
      <c r="BJ42" s="67">
        <v>0</v>
      </c>
      <c r="BK42" s="68">
        <v>0</v>
      </c>
      <c r="BL42" s="69">
        <v>0</v>
      </c>
      <c r="BM42" s="70">
        <f t="shared" ref="BM42:BO42" si="41">SUM(AC42+AF42+AI42+AL42+AO42+AR42+BJ42)</f>
        <v>0</v>
      </c>
      <c r="BN42" s="71">
        <f t="shared" si="41"/>
        <v>0</v>
      </c>
      <c r="BO42" s="72">
        <f t="shared" si="41"/>
        <v>0</v>
      </c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</row>
    <row r="43" spans="1:87" ht="14.25" customHeight="1" outlineLevel="1" x14ac:dyDescent="0.25">
      <c r="A43" s="26">
        <f t="shared" si="11"/>
        <v>45655</v>
      </c>
      <c r="B43" s="58">
        <f t="shared" si="0"/>
        <v>29</v>
      </c>
      <c r="C43" s="40">
        <f t="shared" si="1"/>
        <v>1</v>
      </c>
      <c r="D43" s="73">
        <v>50536.57</v>
      </c>
      <c r="E43" s="42">
        <f t="shared" si="12"/>
        <v>1736025.2762068964</v>
      </c>
      <c r="F43" s="60">
        <v>48</v>
      </c>
      <c r="G43" s="61">
        <v>27</v>
      </c>
      <c r="H43" s="26">
        <f t="shared" si="13"/>
        <v>46020</v>
      </c>
      <c r="I43" s="58">
        <f t="shared" si="2"/>
        <v>29</v>
      </c>
      <c r="J43" s="40">
        <f t="shared" si="3"/>
        <v>2</v>
      </c>
      <c r="K43" s="59">
        <v>47826.52</v>
      </c>
      <c r="L43" s="42">
        <f t="shared" si="14"/>
        <v>2105099.3199999998</v>
      </c>
      <c r="M43" s="60">
        <v>50</v>
      </c>
      <c r="N43" s="61">
        <v>42</v>
      </c>
      <c r="O43" s="5"/>
      <c r="P43" s="62">
        <f t="shared" si="4"/>
        <v>-2710.0500000000029</v>
      </c>
      <c r="Q43" s="63">
        <f t="shared" si="5"/>
        <v>-5.3625523061814451E-2</v>
      </c>
      <c r="R43" s="64">
        <f t="shared" si="6"/>
        <v>369074.04379310342</v>
      </c>
      <c r="S43" s="65">
        <f t="shared" si="7"/>
        <v>0.21259716022079278</v>
      </c>
      <c r="T43" s="2"/>
      <c r="U43" s="2"/>
      <c r="V43" s="2"/>
      <c r="W43" s="5"/>
      <c r="X43" s="6"/>
      <c r="Y43" s="66">
        <v>29</v>
      </c>
      <c r="Z43" s="50">
        <f t="shared" si="8"/>
        <v>42101.986399999994</v>
      </c>
      <c r="AA43" s="51">
        <f t="shared" si="9"/>
        <v>50121.412380952373</v>
      </c>
      <c r="AB43" s="6"/>
      <c r="AC43" s="67">
        <v>0</v>
      </c>
      <c r="AD43" s="68">
        <v>0</v>
      </c>
      <c r="AE43" s="69">
        <v>0</v>
      </c>
      <c r="AF43" s="67">
        <v>0</v>
      </c>
      <c r="AG43" s="68">
        <v>0</v>
      </c>
      <c r="AH43" s="69">
        <v>0</v>
      </c>
      <c r="AI43" s="67">
        <v>0</v>
      </c>
      <c r="AJ43" s="68">
        <v>0</v>
      </c>
      <c r="AK43" s="69">
        <v>0</v>
      </c>
      <c r="AL43" s="67">
        <v>0</v>
      </c>
      <c r="AM43" s="68">
        <v>0</v>
      </c>
      <c r="AN43" s="69">
        <v>0</v>
      </c>
      <c r="AO43" s="67">
        <v>0</v>
      </c>
      <c r="AP43" s="68">
        <v>0</v>
      </c>
      <c r="AQ43" s="69">
        <v>0</v>
      </c>
      <c r="AR43" s="67">
        <v>0</v>
      </c>
      <c r="AS43" s="68">
        <v>0</v>
      </c>
      <c r="AT43" s="69">
        <v>0</v>
      </c>
      <c r="AU43" s="67">
        <v>0</v>
      </c>
      <c r="AV43" s="68">
        <v>0</v>
      </c>
      <c r="AW43" s="69">
        <v>0</v>
      </c>
      <c r="AX43" s="67">
        <v>0</v>
      </c>
      <c r="AY43" s="68">
        <v>0</v>
      </c>
      <c r="AZ43" s="69">
        <v>0</v>
      </c>
      <c r="BA43" s="67">
        <v>0</v>
      </c>
      <c r="BB43" s="68">
        <v>0</v>
      </c>
      <c r="BC43" s="69">
        <v>0</v>
      </c>
      <c r="BD43" s="67">
        <v>0</v>
      </c>
      <c r="BE43" s="68">
        <v>0</v>
      </c>
      <c r="BF43" s="69">
        <v>0</v>
      </c>
      <c r="BG43" s="67">
        <v>0</v>
      </c>
      <c r="BH43" s="68">
        <v>0</v>
      </c>
      <c r="BI43" s="69">
        <v>0</v>
      </c>
      <c r="BJ43" s="67">
        <v>0</v>
      </c>
      <c r="BK43" s="68">
        <v>0</v>
      </c>
      <c r="BL43" s="69">
        <v>0</v>
      </c>
      <c r="BM43" s="70">
        <f t="shared" ref="BM43:BO43" si="42">SUM(AC43+AF43+AI43+AL43+AO43+AR43+BJ43)</f>
        <v>0</v>
      </c>
      <c r="BN43" s="71">
        <f t="shared" si="42"/>
        <v>0</v>
      </c>
      <c r="BO43" s="72">
        <f t="shared" si="42"/>
        <v>0</v>
      </c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</row>
    <row r="44" spans="1:87" ht="14.25" customHeight="1" outlineLevel="1" x14ac:dyDescent="0.25">
      <c r="A44" s="26">
        <f t="shared" si="11"/>
        <v>45656</v>
      </c>
      <c r="B44" s="58">
        <f t="shared" si="0"/>
        <v>30</v>
      </c>
      <c r="C44" s="40">
        <f t="shared" si="1"/>
        <v>2</v>
      </c>
      <c r="D44" s="73">
        <v>68385.259999999995</v>
      </c>
      <c r="E44" s="42">
        <f t="shared" si="12"/>
        <v>1804410.5362068964</v>
      </c>
      <c r="F44" s="60">
        <v>75</v>
      </c>
      <c r="G44" s="61">
        <v>45</v>
      </c>
      <c r="H44" s="26">
        <f t="shared" si="13"/>
        <v>46021</v>
      </c>
      <c r="I44" s="58">
        <f t="shared" si="2"/>
        <v>30</v>
      </c>
      <c r="J44" s="40">
        <f t="shared" si="3"/>
        <v>3</v>
      </c>
      <c r="K44" s="59">
        <v>63276.44</v>
      </c>
      <c r="L44" s="42">
        <f t="shared" si="14"/>
        <v>2168375.7599999998</v>
      </c>
      <c r="M44" s="60">
        <v>72</v>
      </c>
      <c r="N44" s="61">
        <v>46</v>
      </c>
      <c r="O44" s="5"/>
      <c r="P44" s="62">
        <f t="shared" si="4"/>
        <v>-5108.8199999999924</v>
      </c>
      <c r="Q44" s="63">
        <f t="shared" si="5"/>
        <v>-7.4706449898706118E-2</v>
      </c>
      <c r="R44" s="64">
        <f t="shared" si="6"/>
        <v>363965.22379310336</v>
      </c>
      <c r="S44" s="65">
        <f t="shared" si="7"/>
        <v>0.20170865581299768</v>
      </c>
      <c r="T44" s="2"/>
      <c r="U44" s="2"/>
      <c r="V44" s="2"/>
      <c r="W44" s="5"/>
      <c r="X44" s="6"/>
      <c r="Y44" s="66">
        <v>30</v>
      </c>
      <c r="Z44" s="50">
        <f t="shared" si="8"/>
        <v>30116.329999999998</v>
      </c>
      <c r="AA44" s="51">
        <f t="shared" si="9"/>
        <v>47138.603478260862</v>
      </c>
      <c r="AB44" s="6"/>
      <c r="AC44" s="67">
        <v>0</v>
      </c>
      <c r="AD44" s="68">
        <v>0</v>
      </c>
      <c r="AE44" s="69">
        <v>0</v>
      </c>
      <c r="AF44" s="67">
        <v>0</v>
      </c>
      <c r="AG44" s="68">
        <v>0</v>
      </c>
      <c r="AH44" s="69">
        <v>0</v>
      </c>
      <c r="AI44" s="67">
        <v>0</v>
      </c>
      <c r="AJ44" s="68">
        <v>0</v>
      </c>
      <c r="AK44" s="69">
        <v>0</v>
      </c>
      <c r="AL44" s="67">
        <v>0</v>
      </c>
      <c r="AM44" s="68">
        <v>0</v>
      </c>
      <c r="AN44" s="69">
        <v>0</v>
      </c>
      <c r="AO44" s="67">
        <v>0</v>
      </c>
      <c r="AP44" s="68">
        <v>0</v>
      </c>
      <c r="AQ44" s="69">
        <v>0</v>
      </c>
      <c r="AR44" s="67">
        <v>0</v>
      </c>
      <c r="AS44" s="68">
        <v>0</v>
      </c>
      <c r="AT44" s="69">
        <v>0</v>
      </c>
      <c r="AU44" s="67">
        <v>0</v>
      </c>
      <c r="AV44" s="68">
        <v>0</v>
      </c>
      <c r="AW44" s="69">
        <v>0</v>
      </c>
      <c r="AX44" s="67">
        <v>0</v>
      </c>
      <c r="AY44" s="68">
        <v>0</v>
      </c>
      <c r="AZ44" s="69">
        <v>0</v>
      </c>
      <c r="BA44" s="67">
        <v>0</v>
      </c>
      <c r="BB44" s="68">
        <v>0</v>
      </c>
      <c r="BC44" s="69">
        <v>0</v>
      </c>
      <c r="BD44" s="67">
        <v>0</v>
      </c>
      <c r="BE44" s="68">
        <v>0</v>
      </c>
      <c r="BF44" s="69">
        <v>0</v>
      </c>
      <c r="BG44" s="67">
        <v>0</v>
      </c>
      <c r="BH44" s="68">
        <v>0</v>
      </c>
      <c r="BI44" s="69">
        <v>0</v>
      </c>
      <c r="BJ44" s="67">
        <v>0</v>
      </c>
      <c r="BK44" s="68">
        <v>0</v>
      </c>
      <c r="BL44" s="69">
        <v>0</v>
      </c>
      <c r="BM44" s="70">
        <f t="shared" ref="BM44:BO44" si="43">SUM(AC44+AF44+AI44+AL44+AO44+AR44+BJ44)</f>
        <v>0</v>
      </c>
      <c r="BN44" s="71">
        <f t="shared" si="43"/>
        <v>0</v>
      </c>
      <c r="BO44" s="72">
        <f t="shared" si="43"/>
        <v>0</v>
      </c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</row>
    <row r="45" spans="1:87" ht="14.25" customHeight="1" outlineLevel="1" x14ac:dyDescent="0.25">
      <c r="A45" s="26">
        <f t="shared" si="11"/>
        <v>45657</v>
      </c>
      <c r="B45" s="74">
        <f t="shared" si="0"/>
        <v>31</v>
      </c>
      <c r="C45" s="75">
        <f t="shared" si="1"/>
        <v>3</v>
      </c>
      <c r="D45" s="76"/>
      <c r="E45" s="77" t="str">
        <f t="shared" si="12"/>
        <v/>
      </c>
      <c r="F45" s="78"/>
      <c r="G45" s="79"/>
      <c r="H45" s="26">
        <f t="shared" si="13"/>
        <v>46022</v>
      </c>
      <c r="I45" s="74">
        <f t="shared" si="2"/>
        <v>31</v>
      </c>
      <c r="J45" s="40">
        <f t="shared" si="3"/>
        <v>4</v>
      </c>
      <c r="K45" s="76">
        <v>53891.68</v>
      </c>
      <c r="L45" s="77">
        <f t="shared" si="14"/>
        <v>2222267.44</v>
      </c>
      <c r="M45" s="78">
        <v>61</v>
      </c>
      <c r="N45" s="79">
        <v>40</v>
      </c>
      <c r="O45" s="5"/>
      <c r="P45" s="80">
        <f t="shared" si="4"/>
        <v>53891.68</v>
      </c>
      <c r="Q45" s="81" t="str">
        <f t="shared" si="5"/>
        <v xml:space="preserve"> </v>
      </c>
      <c r="R45" s="82" t="e">
        <f t="shared" si="6"/>
        <v>#VALUE!</v>
      </c>
      <c r="S45" s="83" t="str">
        <f t="shared" si="7"/>
        <v/>
      </c>
      <c r="T45" s="2"/>
      <c r="U45" s="2"/>
      <c r="V45" s="2"/>
      <c r="W45" s="5"/>
      <c r="X45" s="6"/>
      <c r="Y45" s="84">
        <v>31</v>
      </c>
      <c r="Z45" s="50">
        <f t="shared" si="8"/>
        <v>36430.6137704918</v>
      </c>
      <c r="AA45" s="51">
        <f t="shared" si="9"/>
        <v>55556.686000000002</v>
      </c>
      <c r="AB45" s="6"/>
      <c r="AC45" s="67">
        <v>0</v>
      </c>
      <c r="AD45" s="85">
        <v>0</v>
      </c>
      <c r="AE45" s="86">
        <v>0</v>
      </c>
      <c r="AF45" s="67"/>
      <c r="AG45" s="85">
        <v>0</v>
      </c>
      <c r="AH45" s="86">
        <v>0</v>
      </c>
      <c r="AI45" s="67"/>
      <c r="AJ45" s="85">
        <v>0</v>
      </c>
      <c r="AK45" s="86">
        <v>0</v>
      </c>
      <c r="AL45" s="67"/>
      <c r="AM45" s="85">
        <v>0</v>
      </c>
      <c r="AN45" s="86">
        <v>0</v>
      </c>
      <c r="AO45" s="67"/>
      <c r="AP45" s="85">
        <v>0</v>
      </c>
      <c r="AQ45" s="86">
        <v>0</v>
      </c>
      <c r="AR45" s="67"/>
      <c r="AS45" s="85">
        <v>0</v>
      </c>
      <c r="AT45" s="86">
        <v>0</v>
      </c>
      <c r="AU45" s="67"/>
      <c r="AV45" s="85">
        <v>0</v>
      </c>
      <c r="AW45" s="86">
        <v>0</v>
      </c>
      <c r="AX45" s="67"/>
      <c r="AY45" s="85">
        <v>0</v>
      </c>
      <c r="AZ45" s="86">
        <v>0</v>
      </c>
      <c r="BA45" s="67"/>
      <c r="BB45" s="85">
        <v>0</v>
      </c>
      <c r="BC45" s="86">
        <v>0</v>
      </c>
      <c r="BD45" s="67"/>
      <c r="BE45" s="85">
        <v>0</v>
      </c>
      <c r="BF45" s="86">
        <v>0</v>
      </c>
      <c r="BG45" s="67"/>
      <c r="BH45" s="85">
        <v>0</v>
      </c>
      <c r="BI45" s="86">
        <v>0</v>
      </c>
      <c r="BJ45" s="67"/>
      <c r="BK45" s="85">
        <v>0</v>
      </c>
      <c r="BL45" s="86">
        <v>0</v>
      </c>
      <c r="BM45" s="70">
        <f t="shared" ref="BM45:BO45" si="44">SUM(AC45+AF45+AI45+AL45+AO45+AR45+BJ45)</f>
        <v>0</v>
      </c>
      <c r="BN45" s="87">
        <f t="shared" si="44"/>
        <v>0</v>
      </c>
      <c r="BO45" s="88">
        <f t="shared" si="44"/>
        <v>0</v>
      </c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</row>
    <row r="46" spans="1:87" ht="14.25" customHeight="1" outlineLevel="1" x14ac:dyDescent="0.25">
      <c r="A46" s="5"/>
      <c r="B46" s="2"/>
      <c r="C46" s="2"/>
      <c r="D46" s="2"/>
      <c r="E46" s="2"/>
      <c r="F46" s="89">
        <f t="shared" ref="F46:G46" si="45">SUM(F15:F45)</f>
        <v>1738</v>
      </c>
      <c r="G46" s="89">
        <f t="shared" si="45"/>
        <v>1045</v>
      </c>
      <c r="H46" s="2"/>
      <c r="I46" s="2"/>
      <c r="J46" s="2"/>
      <c r="K46" s="2" t="s">
        <v>57</v>
      </c>
      <c r="L46" s="2"/>
      <c r="M46" s="89">
        <f t="shared" ref="M46:N46" si="46">SUM(M15:M45)</f>
        <v>2064</v>
      </c>
      <c r="N46" s="89">
        <f t="shared" si="46"/>
        <v>1481</v>
      </c>
      <c r="O46" s="2"/>
      <c r="P46" s="2"/>
      <c r="Q46" s="2"/>
      <c r="R46" s="2"/>
      <c r="S46" s="2"/>
      <c r="T46" s="2"/>
      <c r="U46" s="2"/>
      <c r="V46" s="2"/>
      <c r="W46" s="5"/>
      <c r="X46" s="6"/>
      <c r="Y46" s="90"/>
      <c r="Z46" s="91">
        <f>IFERROR((K47/N46)," ")</f>
        <v>1500.5181904118838</v>
      </c>
      <c r="AA46" s="92">
        <f>IFERROR(M46/N46,0)</f>
        <v>1.3936529372045916</v>
      </c>
      <c r="AB46" s="6"/>
      <c r="AC46" s="93">
        <f t="shared" ref="AC46:BO46" si="47">SUM(AC15:AC45)</f>
        <v>0</v>
      </c>
      <c r="AD46" s="94">
        <f t="shared" si="47"/>
        <v>0</v>
      </c>
      <c r="AE46" s="95">
        <f t="shared" si="47"/>
        <v>0</v>
      </c>
      <c r="AF46" s="93">
        <f t="shared" si="47"/>
        <v>0</v>
      </c>
      <c r="AG46" s="94">
        <f t="shared" si="47"/>
        <v>0</v>
      </c>
      <c r="AH46" s="95">
        <f t="shared" si="47"/>
        <v>0</v>
      </c>
      <c r="AI46" s="93">
        <f t="shared" si="47"/>
        <v>0</v>
      </c>
      <c r="AJ46" s="94">
        <f t="shared" si="47"/>
        <v>0</v>
      </c>
      <c r="AK46" s="95">
        <f t="shared" si="47"/>
        <v>0</v>
      </c>
      <c r="AL46" s="93">
        <f t="shared" si="47"/>
        <v>0</v>
      </c>
      <c r="AM46" s="94">
        <f t="shared" si="47"/>
        <v>0</v>
      </c>
      <c r="AN46" s="95">
        <f t="shared" si="47"/>
        <v>0</v>
      </c>
      <c r="AO46" s="93">
        <f t="shared" si="47"/>
        <v>0</v>
      </c>
      <c r="AP46" s="94">
        <f t="shared" si="47"/>
        <v>0</v>
      </c>
      <c r="AQ46" s="95">
        <f t="shared" si="47"/>
        <v>0</v>
      </c>
      <c r="AR46" s="93">
        <f t="shared" si="47"/>
        <v>0</v>
      </c>
      <c r="AS46" s="94">
        <f t="shared" si="47"/>
        <v>0</v>
      </c>
      <c r="AT46" s="95">
        <f t="shared" si="47"/>
        <v>0</v>
      </c>
      <c r="AU46" s="93">
        <f t="shared" si="47"/>
        <v>0</v>
      </c>
      <c r="AV46" s="94">
        <f t="shared" si="47"/>
        <v>0</v>
      </c>
      <c r="AW46" s="95">
        <f t="shared" si="47"/>
        <v>0</v>
      </c>
      <c r="AX46" s="93">
        <f t="shared" si="47"/>
        <v>0</v>
      </c>
      <c r="AY46" s="94">
        <f t="shared" si="47"/>
        <v>0</v>
      </c>
      <c r="AZ46" s="95">
        <f t="shared" si="47"/>
        <v>0</v>
      </c>
      <c r="BA46" s="93">
        <f t="shared" si="47"/>
        <v>0</v>
      </c>
      <c r="BB46" s="94">
        <f t="shared" si="47"/>
        <v>0</v>
      </c>
      <c r="BC46" s="95">
        <f t="shared" si="47"/>
        <v>0</v>
      </c>
      <c r="BD46" s="93">
        <f t="shared" si="47"/>
        <v>0</v>
      </c>
      <c r="BE46" s="94">
        <f t="shared" si="47"/>
        <v>0</v>
      </c>
      <c r="BF46" s="95">
        <f t="shared" si="47"/>
        <v>0</v>
      </c>
      <c r="BG46" s="93">
        <f t="shared" si="47"/>
        <v>0</v>
      </c>
      <c r="BH46" s="94">
        <f t="shared" si="47"/>
        <v>0</v>
      </c>
      <c r="BI46" s="95">
        <f t="shared" si="47"/>
        <v>0</v>
      </c>
      <c r="BJ46" s="93">
        <f t="shared" si="47"/>
        <v>0</v>
      </c>
      <c r="BK46" s="94">
        <f t="shared" si="47"/>
        <v>0</v>
      </c>
      <c r="BL46" s="95">
        <f t="shared" si="47"/>
        <v>0</v>
      </c>
      <c r="BM46" s="93">
        <f t="shared" si="47"/>
        <v>0</v>
      </c>
      <c r="BN46" s="94">
        <f t="shared" si="47"/>
        <v>0</v>
      </c>
      <c r="BO46" s="95">
        <f t="shared" si="47"/>
        <v>0</v>
      </c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</row>
    <row r="47" spans="1:87" ht="14.25" customHeight="1" x14ac:dyDescent="0.25">
      <c r="A47" s="5"/>
      <c r="B47" s="126" t="s">
        <v>39</v>
      </c>
      <c r="C47" s="127"/>
      <c r="D47" s="128"/>
      <c r="E47" s="96">
        <f>SUM(D15:D45)</f>
        <v>1804410.5362068964</v>
      </c>
      <c r="F47" s="97"/>
      <c r="G47" s="97"/>
      <c r="H47" s="98"/>
      <c r="I47" s="129" t="s">
        <v>40</v>
      </c>
      <c r="J47" s="130"/>
      <c r="K47" s="96">
        <f>SUM(K15:K45)</f>
        <v>2222267.44</v>
      </c>
      <c r="L47" s="98"/>
      <c r="M47" s="98"/>
      <c r="N47" s="98"/>
      <c r="O47" s="98"/>
      <c r="P47" s="98"/>
      <c r="Q47" s="98"/>
      <c r="R47" s="131" t="s">
        <v>41</v>
      </c>
      <c r="S47" s="132"/>
      <c r="T47" s="2"/>
      <c r="U47" s="2"/>
      <c r="V47" s="2"/>
      <c r="W47" s="5"/>
      <c r="X47" s="6"/>
      <c r="Y47" s="7"/>
      <c r="Z47" s="7"/>
      <c r="AA47" s="7"/>
      <c r="AB47" s="6"/>
      <c r="AC47" s="99">
        <f>IFERROR(AC46/AE46,0)</f>
        <v>0</v>
      </c>
      <c r="AD47" s="100">
        <f>IFERROR(AD46/AE46,0)</f>
        <v>0</v>
      </c>
      <c r="AE47" s="101"/>
      <c r="AF47" s="99">
        <f>IFERROR(AF46/AH46,0)</f>
        <v>0</v>
      </c>
      <c r="AG47" s="100">
        <f>IFERROR(AG46/AH46,0)</f>
        <v>0</v>
      </c>
      <c r="AH47" s="101"/>
      <c r="AI47" s="99">
        <f>IFERROR(AI46/AK46,0)</f>
        <v>0</v>
      </c>
      <c r="AJ47" s="100">
        <f>IFERROR(AJ46/AK46,0)</f>
        <v>0</v>
      </c>
      <c r="AK47" s="101"/>
      <c r="AL47" s="99">
        <f>IFERROR(AL46/AN46,0)</f>
        <v>0</v>
      </c>
      <c r="AM47" s="100">
        <f>IFERROR(AM46/AN46,0)</f>
        <v>0</v>
      </c>
      <c r="AN47" s="101"/>
      <c r="AO47" s="99">
        <f>IFERROR(AO46/AQ46,0)</f>
        <v>0</v>
      </c>
      <c r="AP47" s="100">
        <f>IFERROR(AP46/AQ46,0)</f>
        <v>0</v>
      </c>
      <c r="AQ47" s="101"/>
      <c r="AR47" s="99">
        <f>IFERROR(AR46/AT46,0)</f>
        <v>0</v>
      </c>
      <c r="AS47" s="100">
        <f>IFERROR(AS46/AT46,0)</f>
        <v>0</v>
      </c>
      <c r="AT47" s="101"/>
      <c r="AU47" s="99">
        <f>IFERROR(AU46/AW46,0)</f>
        <v>0</v>
      </c>
      <c r="AV47" s="100">
        <f>IFERROR(AV46/AW46,0)</f>
        <v>0</v>
      </c>
      <c r="AW47" s="101"/>
      <c r="AX47" s="99">
        <f>IFERROR(AX46/AZ46,0)</f>
        <v>0</v>
      </c>
      <c r="AY47" s="100">
        <f>IFERROR(AY46/AZ46,0)</f>
        <v>0</v>
      </c>
      <c r="AZ47" s="101"/>
      <c r="BA47" s="99">
        <f>IFERROR(BA46/BC46,0)</f>
        <v>0</v>
      </c>
      <c r="BB47" s="100">
        <f>IFERROR(BB46/BC46,0)</f>
        <v>0</v>
      </c>
      <c r="BC47" s="101"/>
      <c r="BD47" s="99">
        <f>IFERROR(BD46/BF46,0)</f>
        <v>0</v>
      </c>
      <c r="BE47" s="100">
        <f>IFERROR(BE46/BF46,0)</f>
        <v>0</v>
      </c>
      <c r="BF47" s="101"/>
      <c r="BG47" s="99">
        <f>IFERROR(BG46/BI46,0)</f>
        <v>0</v>
      </c>
      <c r="BH47" s="100">
        <f>IFERROR(BH46/BI46,0)</f>
        <v>0</v>
      </c>
      <c r="BI47" s="101"/>
      <c r="BJ47" s="99">
        <f>IFERROR(BJ46/BL46,0)</f>
        <v>0</v>
      </c>
      <c r="BK47" s="100">
        <f>IFERROR(BK46/BL46,0)</f>
        <v>0</v>
      </c>
      <c r="BL47" s="101"/>
      <c r="BM47" s="99">
        <f>IFERROR(BM46/BO46,0)</f>
        <v>0</v>
      </c>
      <c r="BN47" s="100">
        <f>IFERROR(BN46/BO46,0)</f>
        <v>0</v>
      </c>
      <c r="BO47" s="101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</row>
    <row r="48" spans="1:87" ht="14.25" customHeight="1" x14ac:dyDescent="0.25">
      <c r="A48" s="5"/>
      <c r="B48" s="102"/>
      <c r="C48" s="133" t="s">
        <v>42</v>
      </c>
      <c r="D48" s="130"/>
      <c r="E48" s="103">
        <f>E47*1.16</f>
        <v>2093116.2219999996</v>
      </c>
      <c r="F48" s="97"/>
      <c r="G48" s="97"/>
      <c r="H48" s="104"/>
      <c r="I48" s="129" t="s">
        <v>43</v>
      </c>
      <c r="J48" s="130"/>
      <c r="K48" s="103">
        <f>K47*1.16</f>
        <v>2577830.2303999998</v>
      </c>
      <c r="L48" s="105" t="s">
        <v>44</v>
      </c>
      <c r="M48" s="106"/>
      <c r="N48" s="106"/>
      <c r="O48" s="106"/>
      <c r="P48" s="106"/>
      <c r="Q48" s="106"/>
      <c r="R48" s="107">
        <f>K47-E47</f>
        <v>417856.90379310353</v>
      </c>
      <c r="S48" s="108">
        <f>IFERROR(+K47/E47-1,0)</f>
        <v>0.23157529587002568</v>
      </c>
      <c r="T48" s="2"/>
      <c r="U48" s="2"/>
      <c r="V48" s="2"/>
      <c r="W48" s="5"/>
      <c r="X48" s="6"/>
      <c r="Y48" s="7"/>
      <c r="Z48" s="7"/>
      <c r="AA48" s="7"/>
      <c r="AB48" s="6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 s="101"/>
      <c r="BB48" s="101"/>
      <c r="BC48" s="101"/>
      <c r="BD48" s="101"/>
      <c r="BE48" s="101"/>
      <c r="BF48" s="101"/>
      <c r="BG48" s="101"/>
      <c r="BH48" s="101"/>
      <c r="BI48" s="101"/>
      <c r="BJ48" s="101"/>
      <c r="BK48" s="101"/>
      <c r="BL48" s="101"/>
      <c r="BM48" s="101"/>
      <c r="BN48" s="101"/>
      <c r="BO48" s="101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</row>
    <row r="49" spans="1:87" ht="14.25" customHeight="1" x14ac:dyDescent="0.25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5"/>
      <c r="X49" s="6"/>
      <c r="Y49" s="7"/>
      <c r="Z49" s="7"/>
      <c r="AA49" s="7"/>
      <c r="AB49" s="6"/>
      <c r="AC49" s="109" t="s">
        <v>67</v>
      </c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1"/>
      <c r="BK49" s="110"/>
      <c r="BL49" s="111" t="s">
        <v>46</v>
      </c>
      <c r="BM49" s="112">
        <f>+BM46-K47</f>
        <v>-2222267.44</v>
      </c>
      <c r="BN49" s="113">
        <f t="shared" ref="BN49:BO49" si="48">+BN46-M46</f>
        <v>-2064</v>
      </c>
      <c r="BO49" s="114">
        <f t="shared" si="48"/>
        <v>-1481</v>
      </c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</row>
    <row r="50" spans="1:87" ht="6.7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7"/>
      <c r="Z50" s="7"/>
      <c r="AA50" s="7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</row>
    <row r="51" spans="1:87" ht="14.2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7"/>
      <c r="Z51" s="7"/>
      <c r="AA51" s="7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</row>
    <row r="52" spans="1:87" ht="14.2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7"/>
      <c r="Z52" s="7"/>
      <c r="AA52" s="7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</row>
    <row r="53" spans="1:87" ht="14.2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7"/>
      <c r="Z53" s="7"/>
      <c r="AA53" s="7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</row>
    <row r="54" spans="1:87" ht="14.2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7"/>
      <c r="Z54" s="7"/>
      <c r="AA54" s="7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</row>
    <row r="55" spans="1:87" ht="14.2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7"/>
      <c r="Z55" s="7"/>
      <c r="AA55" s="7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</row>
    <row r="56" spans="1:87" ht="14.2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7"/>
      <c r="Z56" s="7"/>
      <c r="AA56" s="7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</row>
    <row r="57" spans="1:87" ht="14.2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7"/>
      <c r="Z57" s="7"/>
      <c r="AA57" s="7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</row>
    <row r="58" spans="1:87" ht="14.2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7"/>
      <c r="Z58" s="7"/>
      <c r="AA58" s="7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</row>
    <row r="59" spans="1:87" ht="14.25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7"/>
      <c r="Z59" s="7"/>
      <c r="AA59" s="7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</row>
    <row r="60" spans="1:87" ht="14.25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7"/>
      <c r="Z60" s="7"/>
      <c r="AA60" s="7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</row>
    <row r="61" spans="1:87" ht="14.25" customHeight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7"/>
      <c r="Z61" s="7"/>
      <c r="AA61" s="7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</row>
    <row r="62" spans="1:87" ht="14.2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7"/>
      <c r="Z62" s="7"/>
      <c r="AA62" s="7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</row>
    <row r="63" spans="1:87" ht="14.25" customHeight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7"/>
      <c r="Z63" s="7"/>
      <c r="AA63" s="7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</row>
    <row r="64" spans="1:87" ht="14.2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7"/>
      <c r="Z64" s="7"/>
      <c r="AA64" s="7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</row>
    <row r="65" spans="1:87" ht="14.25" customHeight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7"/>
      <c r="Z65" s="7"/>
      <c r="AA65" s="7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</row>
    <row r="66" spans="1:87" ht="14.25" customHeight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7"/>
      <c r="Z66" s="7"/>
      <c r="AA66" s="7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</row>
    <row r="67" spans="1:87" ht="14.25" customHeight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7"/>
      <c r="Z67" s="7"/>
      <c r="AA67" s="7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</row>
    <row r="68" spans="1:87" ht="14.25" customHeight="1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7"/>
      <c r="Z68" s="7"/>
      <c r="AA68" s="7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</row>
    <row r="69" spans="1:87" ht="14.25" customHeight="1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7"/>
      <c r="Z69" s="7"/>
      <c r="AA69" s="7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</row>
    <row r="70" spans="1:87" ht="14.25" customHeight="1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7"/>
      <c r="Z70" s="7"/>
      <c r="AA70" s="7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</row>
    <row r="71" spans="1:87" ht="14.2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7"/>
      <c r="Z71" s="7"/>
      <c r="AA71" s="7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</row>
    <row r="72" spans="1:87" ht="14.25" customHeight="1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7"/>
      <c r="Z72" s="7"/>
      <c r="AA72" s="7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</row>
    <row r="73" spans="1:87" ht="14.25" customHeight="1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7"/>
      <c r="Z73" s="7"/>
      <c r="AA73" s="7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</row>
    <row r="74" spans="1:87" ht="14.25" customHeight="1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7"/>
      <c r="Z74" s="7"/>
      <c r="AA74" s="7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</row>
    <row r="75" spans="1:87" ht="14.25" customHeight="1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7"/>
      <c r="Z75" s="7"/>
      <c r="AA75" s="7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</row>
    <row r="76" spans="1:87" ht="14.25" customHeight="1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7"/>
      <c r="Z76" s="7"/>
      <c r="AA76" s="7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</row>
    <row r="77" spans="1:87" ht="14.2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7"/>
      <c r="Z77" s="7"/>
      <c r="AA77" s="7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</row>
    <row r="78" spans="1:87" ht="14.25" customHeight="1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7"/>
      <c r="Z78" s="7"/>
      <c r="AA78" s="7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</row>
    <row r="79" spans="1:87" ht="14.25" customHeight="1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7"/>
      <c r="Z79" s="7"/>
      <c r="AA79" s="7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</row>
    <row r="80" spans="1:87" ht="14.25" customHeight="1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7"/>
      <c r="Z80" s="7"/>
      <c r="AA80" s="7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</row>
    <row r="81" spans="1:87" ht="14.2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7"/>
      <c r="Z81" s="7"/>
      <c r="AA81" s="7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</row>
    <row r="82" spans="1:87" ht="14.2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7"/>
      <c r="Z82" s="7"/>
      <c r="AA82" s="7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</row>
    <row r="83" spans="1:87" ht="14.2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7"/>
      <c r="Z83" s="7"/>
      <c r="AA83" s="7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</row>
    <row r="84" spans="1:87" ht="14.2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7"/>
      <c r="Z84" s="7"/>
      <c r="AA84" s="7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</row>
    <row r="85" spans="1:87" ht="14.2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7"/>
      <c r="Z85" s="7"/>
      <c r="AA85" s="7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</row>
    <row r="86" spans="1:87" ht="14.2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7"/>
      <c r="Z86" s="7"/>
      <c r="AA86" s="7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</row>
    <row r="87" spans="1:87" ht="14.2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7"/>
      <c r="Z87" s="7"/>
      <c r="AA87" s="7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</row>
    <row r="88" spans="1:87" ht="14.2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7"/>
      <c r="Z88" s="7"/>
      <c r="AA88" s="7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</row>
    <row r="89" spans="1:87" ht="14.2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7"/>
      <c r="Z89" s="7"/>
      <c r="AA89" s="7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</row>
    <row r="90" spans="1:87" ht="14.2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7"/>
      <c r="Z90" s="7"/>
      <c r="AA90" s="7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</row>
    <row r="91" spans="1:87" ht="14.2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7"/>
      <c r="Z91" s="7"/>
      <c r="AA91" s="7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</row>
    <row r="92" spans="1:87" ht="14.2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7"/>
      <c r="Z92" s="7"/>
      <c r="AA92" s="7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</row>
    <row r="93" spans="1:87" ht="14.2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7"/>
      <c r="Z93" s="7"/>
      <c r="AA93" s="7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</row>
    <row r="94" spans="1:87" ht="14.2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7"/>
      <c r="Z94" s="7"/>
      <c r="AA94" s="7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</row>
    <row r="95" spans="1:87" ht="14.2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7"/>
      <c r="Z95" s="7"/>
      <c r="AA95" s="7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</row>
    <row r="96" spans="1:87" ht="14.2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7"/>
      <c r="Z96" s="7"/>
      <c r="AA96" s="7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</row>
    <row r="97" spans="1:87" ht="14.2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7"/>
      <c r="Z97" s="7"/>
      <c r="AA97" s="7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</row>
    <row r="98" spans="1:87" ht="14.2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7"/>
      <c r="Z98" s="7"/>
      <c r="AA98" s="7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</row>
    <row r="99" spans="1:87" ht="14.2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7"/>
      <c r="Z99" s="7"/>
      <c r="AA99" s="7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</row>
    <row r="100" spans="1:87" ht="14.2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7"/>
      <c r="Z100" s="7"/>
      <c r="AA100" s="7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</row>
    <row r="101" spans="1:87" ht="14.2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7"/>
      <c r="Z101" s="7"/>
      <c r="AA101" s="7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</row>
    <row r="102" spans="1:87" ht="14.2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7"/>
      <c r="Z102" s="7"/>
      <c r="AA102" s="7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</row>
    <row r="103" spans="1:87" ht="14.2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7"/>
      <c r="Z103" s="7"/>
      <c r="AA103" s="7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</row>
    <row r="104" spans="1:87" ht="14.2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7"/>
      <c r="Z104" s="7"/>
      <c r="AA104" s="7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</row>
    <row r="105" spans="1:87" ht="14.2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7"/>
      <c r="Z105" s="7"/>
      <c r="AA105" s="7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</row>
    <row r="106" spans="1:87" ht="14.2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7"/>
      <c r="Z106" s="7"/>
      <c r="AA106" s="7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</row>
    <row r="107" spans="1:87" ht="14.2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7"/>
      <c r="Z107" s="7"/>
      <c r="AA107" s="7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</row>
    <row r="108" spans="1:87" ht="14.2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7"/>
      <c r="Z108" s="7"/>
      <c r="AA108" s="7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</row>
    <row r="109" spans="1:87" ht="14.2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7"/>
      <c r="Z109" s="7"/>
      <c r="AA109" s="7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</row>
    <row r="110" spans="1:87" ht="14.2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7"/>
      <c r="Z110" s="7"/>
      <c r="AA110" s="7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</row>
    <row r="111" spans="1:87" ht="14.2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7"/>
      <c r="Z111" s="7"/>
      <c r="AA111" s="7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</row>
    <row r="112" spans="1:87" ht="14.2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7"/>
      <c r="Z112" s="7"/>
      <c r="AA112" s="7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</row>
    <row r="113" spans="1:87" ht="14.2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7"/>
      <c r="Z113" s="7"/>
      <c r="AA113" s="7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</row>
    <row r="114" spans="1:87" ht="14.2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7"/>
      <c r="Z114" s="7"/>
      <c r="AA114" s="7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</row>
    <row r="115" spans="1:87" ht="14.2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7"/>
      <c r="Z115" s="7"/>
      <c r="AA115" s="7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</row>
    <row r="116" spans="1:87" ht="14.2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7"/>
      <c r="Z116" s="7"/>
      <c r="AA116" s="7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</row>
    <row r="117" spans="1:87" ht="14.2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7"/>
      <c r="Z117" s="7"/>
      <c r="AA117" s="7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</row>
    <row r="118" spans="1:87" ht="14.2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7"/>
      <c r="Z118" s="7"/>
      <c r="AA118" s="7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</row>
    <row r="119" spans="1:87" ht="14.2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7"/>
      <c r="Z119" s="7"/>
      <c r="AA119" s="7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</row>
    <row r="120" spans="1:87" ht="14.2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7"/>
      <c r="Z120" s="7"/>
      <c r="AA120" s="7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</row>
    <row r="121" spans="1:87" ht="14.2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7"/>
      <c r="Z121" s="7"/>
      <c r="AA121" s="7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</row>
    <row r="122" spans="1:87" ht="14.2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7"/>
      <c r="Z122" s="7"/>
      <c r="AA122" s="7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</row>
    <row r="123" spans="1:87" ht="14.2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7"/>
      <c r="Z123" s="7"/>
      <c r="AA123" s="7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</row>
    <row r="124" spans="1:87" ht="14.2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7"/>
      <c r="Z124" s="7"/>
      <c r="AA124" s="7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</row>
    <row r="125" spans="1:87" ht="14.2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7"/>
      <c r="Z125" s="7"/>
      <c r="AA125" s="7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</row>
    <row r="126" spans="1:87" ht="14.2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7"/>
      <c r="Z126" s="7"/>
      <c r="AA126" s="7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</row>
    <row r="127" spans="1:87" ht="14.2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7"/>
      <c r="Z127" s="7"/>
      <c r="AA127" s="7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</row>
    <row r="128" spans="1:87" ht="14.2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7"/>
      <c r="Z128" s="7"/>
      <c r="AA128" s="7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</row>
    <row r="129" spans="1:87" ht="14.2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7"/>
      <c r="Z129" s="7"/>
      <c r="AA129" s="7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</row>
    <row r="130" spans="1:87" ht="14.2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7"/>
      <c r="Z130" s="7"/>
      <c r="AA130" s="7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</row>
    <row r="131" spans="1:87" ht="14.2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7"/>
      <c r="Z131" s="7"/>
      <c r="AA131" s="7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</row>
    <row r="132" spans="1:87" ht="14.2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7"/>
      <c r="Z132" s="7"/>
      <c r="AA132" s="7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</row>
    <row r="133" spans="1:87" ht="14.2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7"/>
      <c r="Z133" s="7"/>
      <c r="AA133" s="7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</row>
    <row r="134" spans="1:87" ht="14.2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7"/>
      <c r="Z134" s="7"/>
      <c r="AA134" s="7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</row>
    <row r="135" spans="1:87" ht="14.2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7"/>
      <c r="Z135" s="7"/>
      <c r="AA135" s="7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</row>
    <row r="136" spans="1:87" ht="14.2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7"/>
      <c r="Z136" s="7"/>
      <c r="AA136" s="7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</row>
    <row r="137" spans="1:87" ht="14.2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7"/>
      <c r="Z137" s="7"/>
      <c r="AA137" s="7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</row>
    <row r="138" spans="1:87" ht="14.2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7"/>
      <c r="Z138" s="7"/>
      <c r="AA138" s="7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</row>
    <row r="139" spans="1:87" ht="14.2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7"/>
      <c r="Z139" s="7"/>
      <c r="AA139" s="7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</row>
    <row r="140" spans="1:87" ht="14.2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7"/>
      <c r="Z140" s="7"/>
      <c r="AA140" s="7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</row>
    <row r="141" spans="1:87" ht="14.2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7"/>
      <c r="Z141" s="7"/>
      <c r="AA141" s="7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</row>
    <row r="142" spans="1:87" ht="14.2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7"/>
      <c r="Z142" s="7"/>
      <c r="AA142" s="7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</row>
    <row r="143" spans="1:87" ht="14.2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7"/>
      <c r="Z143" s="7"/>
      <c r="AA143" s="7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</row>
    <row r="144" spans="1:87" ht="14.2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7"/>
      <c r="Z144" s="7"/>
      <c r="AA144" s="7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</row>
    <row r="145" spans="1:87" ht="14.2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7"/>
      <c r="Z145" s="7"/>
      <c r="AA145" s="7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</row>
    <row r="146" spans="1:87" ht="14.2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7"/>
      <c r="Z146" s="7"/>
      <c r="AA146" s="7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</row>
    <row r="147" spans="1:87" ht="14.2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7"/>
      <c r="Z147" s="7"/>
      <c r="AA147" s="7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</row>
    <row r="148" spans="1:87" ht="14.2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7"/>
      <c r="Z148" s="7"/>
      <c r="AA148" s="7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</row>
    <row r="149" spans="1:87" ht="14.2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7"/>
      <c r="Z149" s="7"/>
      <c r="AA149" s="7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</row>
    <row r="150" spans="1:87" ht="14.2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7"/>
      <c r="Z150" s="7"/>
      <c r="AA150" s="7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</row>
    <row r="151" spans="1:87" ht="14.2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7"/>
      <c r="Z151" s="7"/>
      <c r="AA151" s="7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</row>
    <row r="152" spans="1:87" ht="14.2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7"/>
      <c r="Z152" s="7"/>
      <c r="AA152" s="7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</row>
    <row r="153" spans="1:87" ht="14.2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7"/>
      <c r="Z153" s="7"/>
      <c r="AA153" s="7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</row>
    <row r="154" spans="1:87" ht="14.2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7"/>
      <c r="Z154" s="7"/>
      <c r="AA154" s="7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</row>
    <row r="155" spans="1:87" ht="14.2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7"/>
      <c r="Z155" s="7"/>
      <c r="AA155" s="7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</row>
    <row r="156" spans="1:87" ht="14.2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7"/>
      <c r="Z156" s="7"/>
      <c r="AA156" s="7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</row>
    <row r="157" spans="1:87" ht="14.2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7"/>
      <c r="Z157" s="7"/>
      <c r="AA157" s="7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</row>
    <row r="158" spans="1:87" ht="14.2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7"/>
      <c r="Z158" s="7"/>
      <c r="AA158" s="7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</row>
    <row r="159" spans="1:87" ht="14.2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7"/>
      <c r="Z159" s="7"/>
      <c r="AA159" s="7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</row>
    <row r="160" spans="1:87" ht="14.2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7"/>
      <c r="Z160" s="7"/>
      <c r="AA160" s="7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</row>
    <row r="161" spans="1:87" ht="14.2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7"/>
      <c r="Z161" s="7"/>
      <c r="AA161" s="7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</row>
    <row r="162" spans="1:87" ht="14.2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7"/>
      <c r="Z162" s="7"/>
      <c r="AA162" s="7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</row>
    <row r="163" spans="1:87" ht="14.2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7"/>
      <c r="Z163" s="7"/>
      <c r="AA163" s="7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</row>
    <row r="164" spans="1:87" ht="14.2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7"/>
      <c r="Z164" s="7"/>
      <c r="AA164" s="7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</row>
    <row r="165" spans="1:87" ht="14.2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7"/>
      <c r="Z165" s="7"/>
      <c r="AA165" s="7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</row>
    <row r="166" spans="1:87" ht="14.2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7"/>
      <c r="Z166" s="7"/>
      <c r="AA166" s="7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</row>
    <row r="167" spans="1:87" ht="14.2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7"/>
      <c r="Z167" s="7"/>
      <c r="AA167" s="7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</row>
    <row r="168" spans="1:87" ht="14.2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7"/>
      <c r="Z168" s="7"/>
      <c r="AA168" s="7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</row>
    <row r="169" spans="1:87" ht="14.2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7"/>
      <c r="Z169" s="7"/>
      <c r="AA169" s="7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</row>
    <row r="170" spans="1:87" ht="14.2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7"/>
      <c r="Z170" s="7"/>
      <c r="AA170" s="7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</row>
    <row r="171" spans="1:87" ht="14.2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7"/>
      <c r="Z171" s="7"/>
      <c r="AA171" s="7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</row>
    <row r="172" spans="1:87" ht="14.2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7"/>
      <c r="Z172" s="7"/>
      <c r="AA172" s="7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</row>
    <row r="173" spans="1:87" ht="14.2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7"/>
      <c r="Z173" s="7"/>
      <c r="AA173" s="7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</row>
    <row r="174" spans="1:87" ht="14.2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7"/>
      <c r="Z174" s="7"/>
      <c r="AA174" s="7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</row>
    <row r="175" spans="1:87" ht="14.2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7"/>
      <c r="Z175" s="7"/>
      <c r="AA175" s="7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</row>
    <row r="176" spans="1:87" ht="14.2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7"/>
      <c r="Z176" s="7"/>
      <c r="AA176" s="7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</row>
    <row r="177" spans="1:87" ht="14.2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7"/>
      <c r="Z177" s="7"/>
      <c r="AA177" s="7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</row>
    <row r="178" spans="1:87" ht="14.2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7"/>
      <c r="Z178" s="7"/>
      <c r="AA178" s="7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</row>
    <row r="179" spans="1:87" ht="14.2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7"/>
      <c r="Z179" s="7"/>
      <c r="AA179" s="7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</row>
    <row r="180" spans="1:87" ht="14.2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7"/>
      <c r="Z180" s="7"/>
      <c r="AA180" s="7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</row>
    <row r="181" spans="1:87" ht="14.2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7"/>
      <c r="Z181" s="7"/>
      <c r="AA181" s="7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</row>
    <row r="182" spans="1:87" ht="14.2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7"/>
      <c r="Z182" s="7"/>
      <c r="AA182" s="7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</row>
    <row r="183" spans="1:87" ht="14.2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7"/>
      <c r="Z183" s="7"/>
      <c r="AA183" s="7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</row>
    <row r="184" spans="1:87" ht="14.2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7"/>
      <c r="Z184" s="7"/>
      <c r="AA184" s="7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</row>
    <row r="185" spans="1:87" ht="14.2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7"/>
      <c r="Z185" s="7"/>
      <c r="AA185" s="7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</row>
    <row r="186" spans="1:87" ht="14.2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7"/>
      <c r="Z186" s="7"/>
      <c r="AA186" s="7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</row>
    <row r="187" spans="1:87" ht="14.2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7"/>
      <c r="Z187" s="7"/>
      <c r="AA187" s="7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</row>
    <row r="188" spans="1:87" ht="14.2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7"/>
      <c r="Z188" s="7"/>
      <c r="AA188" s="7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</row>
    <row r="189" spans="1:87" ht="14.2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7"/>
      <c r="Z189" s="7"/>
      <c r="AA189" s="7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</row>
    <row r="190" spans="1:87" ht="14.2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7"/>
      <c r="Z190" s="7"/>
      <c r="AA190" s="7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</row>
    <row r="191" spans="1:87" ht="14.2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7"/>
      <c r="Z191" s="7"/>
      <c r="AA191" s="7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</row>
    <row r="192" spans="1:87" ht="14.2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7"/>
      <c r="Z192" s="7"/>
      <c r="AA192" s="7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</row>
    <row r="193" spans="1:87" ht="14.2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7"/>
      <c r="Z193" s="7"/>
      <c r="AA193" s="7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</row>
    <row r="194" spans="1:87" ht="14.2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7"/>
      <c r="Z194" s="7"/>
      <c r="AA194" s="7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</row>
    <row r="195" spans="1:87" ht="14.2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7"/>
      <c r="Z195" s="7"/>
      <c r="AA195" s="7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</row>
    <row r="196" spans="1:87" ht="14.2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7"/>
      <c r="Z196" s="7"/>
      <c r="AA196" s="7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</row>
    <row r="197" spans="1:87" ht="14.2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7"/>
      <c r="Z197" s="7"/>
      <c r="AA197" s="7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</row>
    <row r="198" spans="1:87" ht="14.2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7"/>
      <c r="Z198" s="7"/>
      <c r="AA198" s="7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</row>
    <row r="199" spans="1:87" ht="14.2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7"/>
      <c r="Z199" s="7"/>
      <c r="AA199" s="7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</row>
    <row r="200" spans="1:87" ht="14.2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7"/>
      <c r="Z200" s="7"/>
      <c r="AA200" s="7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</row>
    <row r="201" spans="1:87" ht="14.2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7"/>
      <c r="Z201" s="7"/>
      <c r="AA201" s="7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</row>
    <row r="202" spans="1:87" ht="14.2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7"/>
      <c r="Z202" s="7"/>
      <c r="AA202" s="7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</row>
    <row r="203" spans="1:87" ht="14.2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7"/>
      <c r="Z203" s="7"/>
      <c r="AA203" s="7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</row>
    <row r="204" spans="1:87" ht="14.2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7"/>
      <c r="Z204" s="7"/>
      <c r="AA204" s="7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</row>
    <row r="205" spans="1:87" ht="14.2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7"/>
      <c r="Z205" s="7"/>
      <c r="AA205" s="7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</row>
    <row r="206" spans="1:87" ht="14.2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7"/>
      <c r="Z206" s="7"/>
      <c r="AA206" s="7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</row>
    <row r="207" spans="1:87" ht="14.2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7"/>
      <c r="Z207" s="7"/>
      <c r="AA207" s="7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</row>
    <row r="208" spans="1:87" ht="14.2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7"/>
      <c r="Z208" s="7"/>
      <c r="AA208" s="7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</row>
    <row r="209" spans="1:87" ht="14.2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7"/>
      <c r="Z209" s="7"/>
      <c r="AA209" s="7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</row>
    <row r="210" spans="1:87" ht="14.2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7"/>
      <c r="Z210" s="7"/>
      <c r="AA210" s="7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</row>
    <row r="211" spans="1:87" ht="14.2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7"/>
      <c r="Z211" s="7"/>
      <c r="AA211" s="7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</row>
    <row r="212" spans="1:87" ht="14.2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7"/>
      <c r="Z212" s="7"/>
      <c r="AA212" s="7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</row>
    <row r="213" spans="1:87" ht="14.2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7"/>
      <c r="Z213" s="7"/>
      <c r="AA213" s="7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</row>
    <row r="214" spans="1:87" ht="14.2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7"/>
      <c r="Z214" s="7"/>
      <c r="AA214" s="7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</row>
    <row r="215" spans="1:87" ht="14.2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7"/>
      <c r="Z215" s="7"/>
      <c r="AA215" s="7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</row>
    <row r="216" spans="1:87" ht="14.2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7"/>
      <c r="Z216" s="7"/>
      <c r="AA216" s="7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</row>
    <row r="217" spans="1:87" ht="14.2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7"/>
      <c r="Z217" s="7"/>
      <c r="AA217" s="7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</row>
    <row r="218" spans="1:87" ht="14.2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7"/>
      <c r="Z218" s="7"/>
      <c r="AA218" s="7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</row>
    <row r="219" spans="1:87" ht="14.2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7"/>
      <c r="Z219" s="7"/>
      <c r="AA219" s="7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</row>
    <row r="220" spans="1:87" ht="14.2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7"/>
      <c r="Z220" s="7"/>
      <c r="AA220" s="7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</row>
    <row r="221" spans="1:87" ht="14.2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7"/>
      <c r="Z221" s="7"/>
      <c r="AA221" s="7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</row>
    <row r="222" spans="1:87" ht="14.2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7"/>
      <c r="Z222" s="7"/>
      <c r="AA222" s="7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</row>
    <row r="223" spans="1:87" ht="14.2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7"/>
      <c r="Z223" s="7"/>
      <c r="AA223" s="7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</row>
    <row r="224" spans="1:87" ht="14.2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7"/>
      <c r="Z224" s="7"/>
      <c r="AA224" s="7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</row>
    <row r="225" spans="1:87" ht="14.2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7"/>
      <c r="Z225" s="7"/>
      <c r="AA225" s="7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</row>
    <row r="226" spans="1:87" ht="14.2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7"/>
      <c r="Z226" s="7"/>
      <c r="AA226" s="7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</row>
    <row r="227" spans="1:87" ht="14.2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7"/>
      <c r="Z227" s="7"/>
      <c r="AA227" s="7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</row>
    <row r="228" spans="1:87" ht="14.2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7"/>
      <c r="Z228" s="7"/>
      <c r="AA228" s="7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</row>
    <row r="229" spans="1:87" ht="14.2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7"/>
      <c r="Z229" s="7"/>
      <c r="AA229" s="7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</row>
    <row r="230" spans="1:87" ht="14.2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7"/>
      <c r="Z230" s="7"/>
      <c r="AA230" s="7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</row>
    <row r="231" spans="1:87" ht="14.2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7"/>
      <c r="Z231" s="7"/>
      <c r="AA231" s="7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</row>
    <row r="232" spans="1:87" ht="14.2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7"/>
      <c r="Z232" s="7"/>
      <c r="AA232" s="7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</row>
    <row r="233" spans="1:87" ht="14.2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7"/>
      <c r="Z233" s="7"/>
      <c r="AA233" s="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</row>
    <row r="234" spans="1:87" ht="14.2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7"/>
      <c r="Z234" s="7"/>
      <c r="AA234" s="7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</row>
    <row r="235" spans="1:87" ht="14.2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7"/>
      <c r="Z235" s="7"/>
      <c r="AA235" s="7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</row>
    <row r="236" spans="1:87" ht="14.2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7"/>
      <c r="Z236" s="7"/>
      <c r="AA236" s="7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</row>
    <row r="237" spans="1:87" ht="14.2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7"/>
      <c r="Z237" s="7"/>
      <c r="AA237" s="7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</row>
    <row r="238" spans="1:87" ht="14.2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7"/>
      <c r="Z238" s="7"/>
      <c r="AA238" s="7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</row>
    <row r="239" spans="1:87" ht="14.2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7"/>
      <c r="Z239" s="7"/>
      <c r="AA239" s="7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</row>
    <row r="240" spans="1:87" ht="14.2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7"/>
      <c r="Z240" s="7"/>
      <c r="AA240" s="7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</row>
    <row r="241" spans="1:87" ht="14.2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7"/>
      <c r="Z241" s="7"/>
      <c r="AA241" s="7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</row>
    <row r="242" spans="1:87" ht="14.2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7"/>
      <c r="Z242" s="7"/>
      <c r="AA242" s="7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</row>
    <row r="243" spans="1:87" ht="14.2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7"/>
      <c r="Z243" s="7"/>
      <c r="AA243" s="7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</row>
    <row r="244" spans="1:87" ht="14.2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7"/>
      <c r="Z244" s="7"/>
      <c r="AA244" s="7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</row>
    <row r="245" spans="1:87" ht="14.2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7"/>
      <c r="Z245" s="7"/>
      <c r="AA245" s="7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</row>
    <row r="246" spans="1:87" ht="14.2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7"/>
      <c r="Z246" s="7"/>
      <c r="AA246" s="7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</row>
    <row r="247" spans="1:87" ht="14.2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7"/>
      <c r="Z247" s="7"/>
      <c r="AA247" s="7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</row>
    <row r="248" spans="1:87" ht="14.2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7"/>
      <c r="Z248" s="7"/>
      <c r="AA248" s="7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</row>
    <row r="249" spans="1:87" ht="14.2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7"/>
      <c r="Z249" s="7"/>
      <c r="AA249" s="7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</row>
    <row r="250" spans="1:87" ht="14.25" customHeight="1" x14ac:dyDescent="0.25"/>
    <row r="251" spans="1:87" ht="14.25" customHeight="1" x14ac:dyDescent="0.25"/>
    <row r="252" spans="1:87" ht="14.25" customHeight="1" x14ac:dyDescent="0.25"/>
    <row r="253" spans="1:87" ht="14.25" customHeight="1" x14ac:dyDescent="0.25"/>
    <row r="254" spans="1:87" ht="14.25" customHeight="1" x14ac:dyDescent="0.25"/>
    <row r="255" spans="1:87" ht="14.25" customHeight="1" x14ac:dyDescent="0.25"/>
    <row r="256" spans="1:87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12">
    <mergeCell ref="B14:C14"/>
    <mergeCell ref="I14:J14"/>
    <mergeCell ref="U7:U9"/>
    <mergeCell ref="D8:M9"/>
    <mergeCell ref="B13:G13"/>
    <mergeCell ref="I13:N13"/>
    <mergeCell ref="P13:S13"/>
    <mergeCell ref="B47:D47"/>
    <mergeCell ref="I47:J47"/>
    <mergeCell ref="R47:S47"/>
    <mergeCell ref="C48:D48"/>
    <mergeCell ref="I48:J48"/>
  </mergeCells>
  <conditionalFormatting sqref="D15:E45">
    <cfRule type="cellIs" dxfId="5" priority="1" operator="lessThan">
      <formula>0</formula>
    </cfRule>
  </conditionalFormatting>
  <conditionalFormatting sqref="E47:G48 K47:K48">
    <cfRule type="cellIs" dxfId="4" priority="2" operator="lessThan">
      <formula>0</formula>
    </cfRule>
  </conditionalFormatting>
  <conditionalFormatting sqref="K15:L45">
    <cfRule type="cellIs" dxfId="3" priority="3" operator="lessThan">
      <formula>0</formula>
    </cfRule>
  </conditionalFormatting>
  <conditionalFormatting sqref="P15:S45">
    <cfRule type="cellIs" dxfId="2" priority="4" operator="lessThan">
      <formula>0</formula>
    </cfRule>
  </conditionalFormatting>
  <conditionalFormatting sqref="R48:S48">
    <cfRule type="cellIs" dxfId="1" priority="5" operator="lessThan">
      <formula>0</formula>
    </cfRule>
  </conditionalFormatting>
  <conditionalFormatting sqref="V8">
    <cfRule type="expression" dxfId="0" priority="6">
      <formula>LEN(TRIM(V8))=0</formula>
    </cfRule>
  </conditionalFormatting>
  <pageMargins left="0.7" right="0.7" top="0.75" bottom="0.75" header="0" footer="0"/>
  <pageSetup paperSize="9"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B00-000000000000}">
          <x14:formula1>
            <xm:f>DTA!$G$4:$G$9</xm:f>
          </x14:formula1>
          <xm:sqref>C3 Q8</xm:sqref>
        </x14:dataValidation>
        <x14:dataValidation type="list" allowBlank="1" showErrorMessage="1" xr:uid="{00000000-0002-0000-0B00-000001000000}">
          <x14:formula1>
            <xm:f>DTA!$E$4:$E$34</xm:f>
          </x14:formula1>
          <xm:sqref>E3 S8</xm:sqref>
        </x14:dataValidation>
        <x14:dataValidation type="list" allowBlank="1" showErrorMessage="1" xr:uid="{00000000-0002-0000-0B00-000002000000}">
          <x14:formula1>
            <xm:f>DTA!$B$4:$B$15</xm:f>
          </x14:formula1>
          <xm:sqref>D3 R8</xm:sqref>
        </x14:dataValidation>
        <x14:dataValidation type="list" allowBlank="1" showErrorMessage="1" xr:uid="{00000000-0002-0000-0B00-000003000000}">
          <x14:formula1>
            <xm:f>DTA!$I$4:$I$18</xm:f>
          </x14:formula1>
          <xm:sqref>D8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I1000"/>
  <sheetViews>
    <sheetView workbookViewId="0"/>
  </sheetViews>
  <sheetFormatPr baseColWidth="10" defaultColWidth="14.42578125" defaultRowHeight="15" customHeight="1" x14ac:dyDescent="0.25"/>
  <cols>
    <col min="1" max="1" width="5.7109375" customWidth="1"/>
    <col min="2" max="3" width="10.7109375" customWidth="1"/>
    <col min="4" max="4" width="3.42578125" customWidth="1"/>
    <col min="5" max="5" width="11.5703125" customWidth="1"/>
    <col min="6" max="6" width="3" customWidth="1"/>
    <col min="7" max="7" width="11.5703125" customWidth="1"/>
    <col min="8" max="8" width="10.7109375" customWidth="1"/>
    <col min="9" max="9" width="52.28515625" customWidth="1"/>
  </cols>
  <sheetData>
    <row r="1" spans="2:9" ht="14.25" customHeight="1" x14ac:dyDescent="0.25">
      <c r="E1" s="119"/>
      <c r="G1" s="119"/>
    </row>
    <row r="2" spans="2:9" ht="14.25" customHeight="1" x14ac:dyDescent="0.25">
      <c r="E2" s="119"/>
      <c r="G2" s="119"/>
    </row>
    <row r="3" spans="2:9" ht="14.25" customHeight="1" x14ac:dyDescent="0.25">
      <c r="B3" s="120" t="s">
        <v>68</v>
      </c>
      <c r="C3" s="120" t="s">
        <v>1</v>
      </c>
      <c r="E3" s="121" t="s">
        <v>69</v>
      </c>
      <c r="G3" s="121" t="s">
        <v>70</v>
      </c>
      <c r="I3" s="122" t="s">
        <v>71</v>
      </c>
    </row>
    <row r="4" spans="2:9" ht="14.25" customHeight="1" x14ac:dyDescent="0.25">
      <c r="B4" s="123" t="s">
        <v>4</v>
      </c>
      <c r="C4" s="124">
        <v>1</v>
      </c>
      <c r="E4" s="119">
        <v>1</v>
      </c>
      <c r="G4" s="119">
        <v>2024</v>
      </c>
      <c r="I4" s="123" t="s">
        <v>9</v>
      </c>
    </row>
    <row r="5" spans="2:9" ht="14.25" customHeight="1" x14ac:dyDescent="0.25">
      <c r="B5" s="123" t="s">
        <v>5</v>
      </c>
      <c r="C5" s="125">
        <v>2</v>
      </c>
      <c r="E5" s="119">
        <v>2</v>
      </c>
      <c r="G5" s="119">
        <f t="shared" ref="G5:G9" si="0">+G4+1</f>
        <v>2025</v>
      </c>
      <c r="I5" s="123" t="s">
        <v>72</v>
      </c>
    </row>
    <row r="6" spans="2:9" ht="14.25" customHeight="1" x14ac:dyDescent="0.25">
      <c r="B6" s="123" t="s">
        <v>6</v>
      </c>
      <c r="C6" s="124">
        <v>3</v>
      </c>
      <c r="E6" s="119">
        <v>3</v>
      </c>
      <c r="G6" s="119">
        <f t="shared" si="0"/>
        <v>2026</v>
      </c>
      <c r="I6" s="123" t="s">
        <v>73</v>
      </c>
    </row>
    <row r="7" spans="2:9" ht="14.25" customHeight="1" x14ac:dyDescent="0.25">
      <c r="B7" s="123" t="s">
        <v>3</v>
      </c>
      <c r="C7" s="125">
        <v>4</v>
      </c>
      <c r="E7" s="119">
        <v>4</v>
      </c>
      <c r="G7" s="119">
        <f t="shared" si="0"/>
        <v>2027</v>
      </c>
      <c r="I7" s="123" t="s">
        <v>74</v>
      </c>
    </row>
    <row r="8" spans="2:9" ht="14.25" customHeight="1" x14ac:dyDescent="0.25">
      <c r="B8" s="123" t="s">
        <v>50</v>
      </c>
      <c r="C8" s="124">
        <v>5</v>
      </c>
      <c r="E8" s="119">
        <v>5</v>
      </c>
      <c r="G8" s="119">
        <f t="shared" si="0"/>
        <v>2028</v>
      </c>
      <c r="I8" s="123" t="s">
        <v>75</v>
      </c>
    </row>
    <row r="9" spans="2:9" ht="14.25" customHeight="1" x14ac:dyDescent="0.25">
      <c r="B9" s="123" t="s">
        <v>51</v>
      </c>
      <c r="C9" s="125">
        <v>6</v>
      </c>
      <c r="E9" s="119">
        <v>6</v>
      </c>
      <c r="G9" s="119">
        <f t="shared" si="0"/>
        <v>2029</v>
      </c>
      <c r="I9" s="123" t="s">
        <v>76</v>
      </c>
    </row>
    <row r="10" spans="2:9" ht="14.25" customHeight="1" x14ac:dyDescent="0.25">
      <c r="B10" s="123" t="s">
        <v>53</v>
      </c>
      <c r="C10" s="124">
        <v>7</v>
      </c>
      <c r="E10" s="119">
        <v>7</v>
      </c>
      <c r="G10" s="119"/>
      <c r="I10" s="123" t="s">
        <v>77</v>
      </c>
    </row>
    <row r="11" spans="2:9" ht="14.25" customHeight="1" x14ac:dyDescent="0.25">
      <c r="B11" s="123" t="s">
        <v>54</v>
      </c>
      <c r="C11" s="125">
        <v>8</v>
      </c>
      <c r="E11" s="119">
        <v>8</v>
      </c>
      <c r="G11" s="119"/>
      <c r="I11" s="123" t="s">
        <v>78</v>
      </c>
    </row>
    <row r="12" spans="2:9" ht="14.25" customHeight="1" x14ac:dyDescent="0.25">
      <c r="B12" s="123" t="s">
        <v>60</v>
      </c>
      <c r="C12" s="124">
        <v>9</v>
      </c>
      <c r="E12" s="119">
        <v>9</v>
      </c>
      <c r="G12" s="119"/>
      <c r="I12" s="123" t="s">
        <v>79</v>
      </c>
    </row>
    <row r="13" spans="2:9" ht="14.25" customHeight="1" x14ac:dyDescent="0.25">
      <c r="B13" s="123" t="s">
        <v>61</v>
      </c>
      <c r="C13" s="125">
        <v>10</v>
      </c>
      <c r="E13" s="119">
        <v>10</v>
      </c>
      <c r="G13" s="119"/>
      <c r="I13" s="123" t="s">
        <v>80</v>
      </c>
    </row>
    <row r="14" spans="2:9" ht="14.25" customHeight="1" x14ac:dyDescent="0.25">
      <c r="B14" s="123" t="s">
        <v>62</v>
      </c>
      <c r="C14" s="124">
        <v>11</v>
      </c>
      <c r="E14" s="119">
        <v>11</v>
      </c>
      <c r="G14" s="119"/>
      <c r="I14" s="123" t="s">
        <v>81</v>
      </c>
    </row>
    <row r="15" spans="2:9" ht="14.25" customHeight="1" x14ac:dyDescent="0.25">
      <c r="B15" s="123" t="s">
        <v>63</v>
      </c>
      <c r="C15" s="125">
        <v>12</v>
      </c>
      <c r="E15" s="119">
        <v>12</v>
      </c>
      <c r="G15" s="119"/>
      <c r="I15" s="123" t="s">
        <v>8</v>
      </c>
    </row>
    <row r="16" spans="2:9" ht="14.25" customHeight="1" x14ac:dyDescent="0.25">
      <c r="E16" s="119">
        <v>13</v>
      </c>
      <c r="G16" s="119"/>
      <c r="I16" s="123" t="s">
        <v>82</v>
      </c>
    </row>
    <row r="17" spans="5:9" ht="14.25" customHeight="1" x14ac:dyDescent="0.25">
      <c r="E17" s="119">
        <v>14</v>
      </c>
      <c r="G17" s="119"/>
      <c r="I17" s="123" t="s">
        <v>83</v>
      </c>
    </row>
    <row r="18" spans="5:9" ht="14.25" customHeight="1" x14ac:dyDescent="0.25">
      <c r="E18" s="119">
        <v>15</v>
      </c>
      <c r="G18" s="119"/>
      <c r="I18" s="123" t="s">
        <v>84</v>
      </c>
    </row>
    <row r="19" spans="5:9" ht="14.25" customHeight="1" x14ac:dyDescent="0.25">
      <c r="E19" s="119">
        <v>16</v>
      </c>
      <c r="G19" s="119"/>
    </row>
    <row r="20" spans="5:9" ht="14.25" customHeight="1" x14ac:dyDescent="0.25">
      <c r="E20" s="119">
        <v>17</v>
      </c>
      <c r="G20" s="119"/>
    </row>
    <row r="21" spans="5:9" ht="14.25" customHeight="1" x14ac:dyDescent="0.25">
      <c r="E21" s="119">
        <v>18</v>
      </c>
      <c r="G21" s="119"/>
    </row>
    <row r="22" spans="5:9" ht="14.25" customHeight="1" x14ac:dyDescent="0.25">
      <c r="E22" s="119">
        <v>19</v>
      </c>
      <c r="G22" s="119"/>
    </row>
    <row r="23" spans="5:9" ht="14.25" customHeight="1" x14ac:dyDescent="0.25">
      <c r="E23" s="119">
        <v>20</v>
      </c>
      <c r="G23" s="119"/>
    </row>
    <row r="24" spans="5:9" ht="14.25" customHeight="1" x14ac:dyDescent="0.25">
      <c r="E24" s="119">
        <v>21</v>
      </c>
      <c r="G24" s="119"/>
    </row>
    <row r="25" spans="5:9" ht="14.25" customHeight="1" x14ac:dyDescent="0.25">
      <c r="E25" s="119">
        <v>22</v>
      </c>
      <c r="G25" s="119"/>
    </row>
    <row r="26" spans="5:9" ht="14.25" customHeight="1" x14ac:dyDescent="0.25">
      <c r="E26" s="119">
        <v>23</v>
      </c>
      <c r="G26" s="119"/>
    </row>
    <row r="27" spans="5:9" ht="14.25" customHeight="1" x14ac:dyDescent="0.25">
      <c r="E27" s="119">
        <v>24</v>
      </c>
      <c r="G27" s="119"/>
    </row>
    <row r="28" spans="5:9" ht="14.25" customHeight="1" x14ac:dyDescent="0.25">
      <c r="E28" s="119">
        <v>25</v>
      </c>
      <c r="G28" s="119"/>
    </row>
    <row r="29" spans="5:9" ht="14.25" customHeight="1" x14ac:dyDescent="0.25">
      <c r="E29" s="119">
        <v>26</v>
      </c>
      <c r="G29" s="119"/>
    </row>
    <row r="30" spans="5:9" ht="14.25" customHeight="1" x14ac:dyDescent="0.25">
      <c r="E30" s="119">
        <v>27</v>
      </c>
      <c r="G30" s="119"/>
    </row>
    <row r="31" spans="5:9" ht="14.25" customHeight="1" x14ac:dyDescent="0.25">
      <c r="E31" s="119">
        <v>28</v>
      </c>
      <c r="G31" s="119"/>
    </row>
    <row r="32" spans="5:9" ht="14.25" customHeight="1" x14ac:dyDescent="0.25">
      <c r="E32" s="119">
        <v>29</v>
      </c>
      <c r="G32" s="119"/>
    </row>
    <row r="33" spans="5:7" ht="14.25" customHeight="1" x14ac:dyDescent="0.25">
      <c r="E33" s="119">
        <v>30</v>
      </c>
      <c r="G33" s="119"/>
    </row>
    <row r="34" spans="5:7" ht="14.25" customHeight="1" x14ac:dyDescent="0.25">
      <c r="E34" s="119">
        <v>31</v>
      </c>
      <c r="G34" s="119"/>
    </row>
    <row r="35" spans="5:7" ht="14.25" customHeight="1" x14ac:dyDescent="0.25">
      <c r="E35" s="119"/>
      <c r="G35" s="119"/>
    </row>
    <row r="36" spans="5:7" ht="14.25" customHeight="1" x14ac:dyDescent="0.25">
      <c r="E36" s="119"/>
      <c r="G36" s="119"/>
    </row>
    <row r="37" spans="5:7" ht="14.25" customHeight="1" x14ac:dyDescent="0.25">
      <c r="E37" s="119"/>
      <c r="G37" s="119"/>
    </row>
    <row r="38" spans="5:7" ht="14.25" customHeight="1" x14ac:dyDescent="0.25">
      <c r="E38" s="119"/>
      <c r="G38" s="119"/>
    </row>
    <row r="39" spans="5:7" ht="14.25" customHeight="1" x14ac:dyDescent="0.25">
      <c r="E39" s="119"/>
      <c r="G39" s="119"/>
    </row>
    <row r="40" spans="5:7" ht="14.25" customHeight="1" x14ac:dyDescent="0.25">
      <c r="E40" s="119"/>
      <c r="G40" s="119"/>
    </row>
    <row r="41" spans="5:7" ht="14.25" customHeight="1" x14ac:dyDescent="0.25">
      <c r="E41" s="119"/>
      <c r="G41" s="119"/>
    </row>
    <row r="42" spans="5:7" ht="14.25" customHeight="1" x14ac:dyDescent="0.25">
      <c r="E42" s="119"/>
      <c r="G42" s="119"/>
    </row>
    <row r="43" spans="5:7" ht="14.25" customHeight="1" x14ac:dyDescent="0.25">
      <c r="E43" s="119"/>
      <c r="G43" s="119"/>
    </row>
    <row r="44" spans="5:7" ht="14.25" customHeight="1" x14ac:dyDescent="0.25">
      <c r="E44" s="119"/>
      <c r="G44" s="119"/>
    </row>
    <row r="45" spans="5:7" ht="14.25" customHeight="1" x14ac:dyDescent="0.25">
      <c r="E45" s="119"/>
      <c r="G45" s="119"/>
    </row>
    <row r="46" spans="5:7" ht="14.25" customHeight="1" x14ac:dyDescent="0.25">
      <c r="E46" s="119"/>
      <c r="G46" s="119"/>
    </row>
    <row r="47" spans="5:7" ht="14.25" customHeight="1" x14ac:dyDescent="0.25">
      <c r="E47" s="119"/>
      <c r="G47" s="119"/>
    </row>
    <row r="48" spans="5:7" ht="14.25" customHeight="1" x14ac:dyDescent="0.25">
      <c r="E48" s="119"/>
      <c r="G48" s="119"/>
    </row>
    <row r="49" spans="5:7" ht="14.25" customHeight="1" x14ac:dyDescent="0.25">
      <c r="E49" s="119"/>
      <c r="G49" s="119"/>
    </row>
    <row r="50" spans="5:7" ht="14.25" customHeight="1" x14ac:dyDescent="0.25">
      <c r="E50" s="119"/>
      <c r="G50" s="119"/>
    </row>
    <row r="51" spans="5:7" ht="14.25" customHeight="1" x14ac:dyDescent="0.25">
      <c r="E51" s="119"/>
      <c r="G51" s="119"/>
    </row>
    <row r="52" spans="5:7" ht="14.25" customHeight="1" x14ac:dyDescent="0.25">
      <c r="E52" s="119"/>
      <c r="G52" s="119"/>
    </row>
    <row r="53" spans="5:7" ht="14.25" customHeight="1" x14ac:dyDescent="0.25">
      <c r="E53" s="119"/>
      <c r="G53" s="119"/>
    </row>
    <row r="54" spans="5:7" ht="14.25" customHeight="1" x14ac:dyDescent="0.25">
      <c r="E54" s="119"/>
      <c r="G54" s="119"/>
    </row>
    <row r="55" spans="5:7" ht="14.25" customHeight="1" x14ac:dyDescent="0.25">
      <c r="E55" s="119"/>
      <c r="G55" s="119"/>
    </row>
    <row r="56" spans="5:7" ht="14.25" customHeight="1" x14ac:dyDescent="0.25">
      <c r="E56" s="119"/>
      <c r="G56" s="119"/>
    </row>
    <row r="57" spans="5:7" ht="14.25" customHeight="1" x14ac:dyDescent="0.25">
      <c r="E57" s="119"/>
      <c r="G57" s="119"/>
    </row>
    <row r="58" spans="5:7" ht="14.25" customHeight="1" x14ac:dyDescent="0.25">
      <c r="E58" s="119"/>
      <c r="G58" s="119"/>
    </row>
    <row r="59" spans="5:7" ht="14.25" customHeight="1" x14ac:dyDescent="0.25">
      <c r="E59" s="119"/>
      <c r="G59" s="119"/>
    </row>
    <row r="60" spans="5:7" ht="14.25" customHeight="1" x14ac:dyDescent="0.25">
      <c r="E60" s="119"/>
      <c r="G60" s="119"/>
    </row>
    <row r="61" spans="5:7" ht="14.25" customHeight="1" x14ac:dyDescent="0.25">
      <c r="E61" s="119"/>
      <c r="G61" s="119"/>
    </row>
    <row r="62" spans="5:7" ht="14.25" customHeight="1" x14ac:dyDescent="0.25">
      <c r="E62" s="119"/>
      <c r="G62" s="119"/>
    </row>
    <row r="63" spans="5:7" ht="14.25" customHeight="1" x14ac:dyDescent="0.25">
      <c r="E63" s="119"/>
      <c r="G63" s="119"/>
    </row>
    <row r="64" spans="5:7" ht="14.25" customHeight="1" x14ac:dyDescent="0.25">
      <c r="E64" s="119"/>
      <c r="G64" s="119"/>
    </row>
    <row r="65" spans="5:7" ht="14.25" customHeight="1" x14ac:dyDescent="0.25">
      <c r="E65" s="119"/>
      <c r="G65" s="119"/>
    </row>
    <row r="66" spans="5:7" ht="14.25" customHeight="1" x14ac:dyDescent="0.25">
      <c r="E66" s="119"/>
      <c r="G66" s="119"/>
    </row>
    <row r="67" spans="5:7" ht="14.25" customHeight="1" x14ac:dyDescent="0.25">
      <c r="E67" s="119"/>
      <c r="G67" s="119"/>
    </row>
    <row r="68" spans="5:7" ht="14.25" customHeight="1" x14ac:dyDescent="0.25">
      <c r="E68" s="119"/>
      <c r="G68" s="119"/>
    </row>
    <row r="69" spans="5:7" ht="14.25" customHeight="1" x14ac:dyDescent="0.25">
      <c r="E69" s="119"/>
      <c r="G69" s="119"/>
    </row>
    <row r="70" spans="5:7" ht="14.25" customHeight="1" x14ac:dyDescent="0.25">
      <c r="E70" s="119"/>
      <c r="G70" s="119"/>
    </row>
    <row r="71" spans="5:7" ht="14.25" customHeight="1" x14ac:dyDescent="0.25">
      <c r="E71" s="119"/>
      <c r="G71" s="119"/>
    </row>
    <row r="72" spans="5:7" ht="14.25" customHeight="1" x14ac:dyDescent="0.25">
      <c r="E72" s="119"/>
      <c r="G72" s="119"/>
    </row>
    <row r="73" spans="5:7" ht="14.25" customHeight="1" x14ac:dyDescent="0.25">
      <c r="E73" s="119"/>
      <c r="G73" s="119"/>
    </row>
    <row r="74" spans="5:7" ht="14.25" customHeight="1" x14ac:dyDescent="0.25">
      <c r="E74" s="119"/>
      <c r="G74" s="119"/>
    </row>
    <row r="75" spans="5:7" ht="14.25" customHeight="1" x14ac:dyDescent="0.25">
      <c r="E75" s="119"/>
      <c r="G75" s="119"/>
    </row>
    <row r="76" spans="5:7" ht="14.25" customHeight="1" x14ac:dyDescent="0.25">
      <c r="E76" s="119"/>
      <c r="G76" s="119"/>
    </row>
    <row r="77" spans="5:7" ht="14.25" customHeight="1" x14ac:dyDescent="0.25">
      <c r="E77" s="119"/>
      <c r="G77" s="119"/>
    </row>
    <row r="78" spans="5:7" ht="14.25" customHeight="1" x14ac:dyDescent="0.25">
      <c r="E78" s="119"/>
      <c r="G78" s="119"/>
    </row>
    <row r="79" spans="5:7" ht="14.25" customHeight="1" x14ac:dyDescent="0.25">
      <c r="E79" s="119"/>
      <c r="G79" s="119"/>
    </row>
    <row r="80" spans="5:7" ht="14.25" customHeight="1" x14ac:dyDescent="0.25">
      <c r="E80" s="119"/>
      <c r="G80" s="119"/>
    </row>
    <row r="81" spans="5:7" ht="14.25" customHeight="1" x14ac:dyDescent="0.25">
      <c r="E81" s="119"/>
      <c r="G81" s="119"/>
    </row>
    <row r="82" spans="5:7" ht="14.25" customHeight="1" x14ac:dyDescent="0.25">
      <c r="E82" s="119"/>
      <c r="G82" s="119"/>
    </row>
    <row r="83" spans="5:7" ht="14.25" customHeight="1" x14ac:dyDescent="0.25">
      <c r="E83" s="119"/>
      <c r="G83" s="119"/>
    </row>
    <row r="84" spans="5:7" ht="14.25" customHeight="1" x14ac:dyDescent="0.25">
      <c r="E84" s="119"/>
      <c r="G84" s="119"/>
    </row>
    <row r="85" spans="5:7" ht="14.25" customHeight="1" x14ac:dyDescent="0.25">
      <c r="E85" s="119"/>
      <c r="G85" s="119"/>
    </row>
    <row r="86" spans="5:7" ht="14.25" customHeight="1" x14ac:dyDescent="0.25">
      <c r="E86" s="119"/>
      <c r="G86" s="119"/>
    </row>
    <row r="87" spans="5:7" ht="14.25" customHeight="1" x14ac:dyDescent="0.25">
      <c r="E87" s="119"/>
      <c r="G87" s="119"/>
    </row>
    <row r="88" spans="5:7" ht="14.25" customHeight="1" x14ac:dyDescent="0.25">
      <c r="E88" s="119"/>
      <c r="G88" s="119"/>
    </row>
    <row r="89" spans="5:7" ht="14.25" customHeight="1" x14ac:dyDescent="0.25">
      <c r="E89" s="119"/>
      <c r="G89" s="119"/>
    </row>
    <row r="90" spans="5:7" ht="14.25" customHeight="1" x14ac:dyDescent="0.25">
      <c r="E90" s="119"/>
      <c r="G90" s="119"/>
    </row>
    <row r="91" spans="5:7" ht="14.25" customHeight="1" x14ac:dyDescent="0.25">
      <c r="E91" s="119"/>
      <c r="G91" s="119"/>
    </row>
    <row r="92" spans="5:7" ht="14.25" customHeight="1" x14ac:dyDescent="0.25">
      <c r="E92" s="119"/>
      <c r="G92" s="119"/>
    </row>
    <row r="93" spans="5:7" ht="14.25" customHeight="1" x14ac:dyDescent="0.25">
      <c r="E93" s="119"/>
      <c r="G93" s="119"/>
    </row>
    <row r="94" spans="5:7" ht="14.25" customHeight="1" x14ac:dyDescent="0.25">
      <c r="E94" s="119"/>
      <c r="G94" s="119"/>
    </row>
    <row r="95" spans="5:7" ht="14.25" customHeight="1" x14ac:dyDescent="0.25">
      <c r="E95" s="119"/>
      <c r="G95" s="119"/>
    </row>
    <row r="96" spans="5:7" ht="14.25" customHeight="1" x14ac:dyDescent="0.25">
      <c r="E96" s="119"/>
      <c r="G96" s="119"/>
    </row>
    <row r="97" spans="5:7" ht="14.25" customHeight="1" x14ac:dyDescent="0.25">
      <c r="E97" s="119"/>
      <c r="G97" s="119"/>
    </row>
    <row r="98" spans="5:7" ht="14.25" customHeight="1" x14ac:dyDescent="0.25">
      <c r="E98" s="119"/>
      <c r="G98" s="119"/>
    </row>
    <row r="99" spans="5:7" ht="14.25" customHeight="1" x14ac:dyDescent="0.25">
      <c r="E99" s="119"/>
      <c r="G99" s="119"/>
    </row>
    <row r="100" spans="5:7" ht="14.25" customHeight="1" x14ac:dyDescent="0.25">
      <c r="E100" s="119"/>
      <c r="G100" s="119"/>
    </row>
    <row r="101" spans="5:7" ht="14.25" customHeight="1" x14ac:dyDescent="0.25">
      <c r="E101" s="119"/>
      <c r="G101" s="119"/>
    </row>
    <row r="102" spans="5:7" ht="14.25" customHeight="1" x14ac:dyDescent="0.25">
      <c r="E102" s="119"/>
      <c r="G102" s="119"/>
    </row>
    <row r="103" spans="5:7" ht="14.25" customHeight="1" x14ac:dyDescent="0.25">
      <c r="E103" s="119"/>
      <c r="G103" s="119"/>
    </row>
    <row r="104" spans="5:7" ht="14.25" customHeight="1" x14ac:dyDescent="0.25">
      <c r="E104" s="119"/>
      <c r="G104" s="119"/>
    </row>
    <row r="105" spans="5:7" ht="14.25" customHeight="1" x14ac:dyDescent="0.25">
      <c r="E105" s="119"/>
      <c r="G105" s="119"/>
    </row>
    <row r="106" spans="5:7" ht="14.25" customHeight="1" x14ac:dyDescent="0.25">
      <c r="E106" s="119"/>
      <c r="G106" s="119"/>
    </row>
    <row r="107" spans="5:7" ht="14.25" customHeight="1" x14ac:dyDescent="0.25">
      <c r="E107" s="119"/>
      <c r="G107" s="119"/>
    </row>
    <row r="108" spans="5:7" ht="14.25" customHeight="1" x14ac:dyDescent="0.25">
      <c r="E108" s="119"/>
      <c r="G108" s="119"/>
    </row>
    <row r="109" spans="5:7" ht="14.25" customHeight="1" x14ac:dyDescent="0.25">
      <c r="E109" s="119"/>
      <c r="G109" s="119"/>
    </row>
    <row r="110" spans="5:7" ht="14.25" customHeight="1" x14ac:dyDescent="0.25">
      <c r="E110" s="119"/>
      <c r="G110" s="119"/>
    </row>
    <row r="111" spans="5:7" ht="14.25" customHeight="1" x14ac:dyDescent="0.25">
      <c r="E111" s="119"/>
      <c r="G111" s="119"/>
    </row>
    <row r="112" spans="5:7" ht="14.25" customHeight="1" x14ac:dyDescent="0.25">
      <c r="E112" s="119"/>
      <c r="G112" s="119"/>
    </row>
    <row r="113" spans="5:7" ht="14.25" customHeight="1" x14ac:dyDescent="0.25">
      <c r="E113" s="119"/>
      <c r="G113" s="119"/>
    </row>
    <row r="114" spans="5:7" ht="14.25" customHeight="1" x14ac:dyDescent="0.25">
      <c r="E114" s="119"/>
      <c r="G114" s="119"/>
    </row>
    <row r="115" spans="5:7" ht="14.25" customHeight="1" x14ac:dyDescent="0.25">
      <c r="E115" s="119"/>
      <c r="G115" s="119"/>
    </row>
    <row r="116" spans="5:7" ht="14.25" customHeight="1" x14ac:dyDescent="0.25">
      <c r="E116" s="119"/>
      <c r="G116" s="119"/>
    </row>
    <row r="117" spans="5:7" ht="14.25" customHeight="1" x14ac:dyDescent="0.25">
      <c r="E117" s="119"/>
      <c r="G117" s="119"/>
    </row>
    <row r="118" spans="5:7" ht="14.25" customHeight="1" x14ac:dyDescent="0.25">
      <c r="E118" s="119"/>
      <c r="G118" s="119"/>
    </row>
    <row r="119" spans="5:7" ht="14.25" customHeight="1" x14ac:dyDescent="0.25">
      <c r="E119" s="119"/>
      <c r="G119" s="119"/>
    </row>
    <row r="120" spans="5:7" ht="14.25" customHeight="1" x14ac:dyDescent="0.25">
      <c r="E120" s="119"/>
      <c r="G120" s="119"/>
    </row>
    <row r="121" spans="5:7" ht="14.25" customHeight="1" x14ac:dyDescent="0.25">
      <c r="E121" s="119"/>
      <c r="G121" s="119"/>
    </row>
    <row r="122" spans="5:7" ht="14.25" customHeight="1" x14ac:dyDescent="0.25">
      <c r="E122" s="119"/>
      <c r="G122" s="119"/>
    </row>
    <row r="123" spans="5:7" ht="14.25" customHeight="1" x14ac:dyDescent="0.25">
      <c r="E123" s="119"/>
      <c r="G123" s="119"/>
    </row>
    <row r="124" spans="5:7" ht="14.25" customHeight="1" x14ac:dyDescent="0.25">
      <c r="E124" s="119"/>
      <c r="G124" s="119"/>
    </row>
    <row r="125" spans="5:7" ht="14.25" customHeight="1" x14ac:dyDescent="0.25">
      <c r="E125" s="119"/>
      <c r="G125" s="119"/>
    </row>
    <row r="126" spans="5:7" ht="14.25" customHeight="1" x14ac:dyDescent="0.25">
      <c r="E126" s="119"/>
      <c r="G126" s="119"/>
    </row>
    <row r="127" spans="5:7" ht="14.25" customHeight="1" x14ac:dyDescent="0.25">
      <c r="E127" s="119"/>
      <c r="G127" s="119"/>
    </row>
    <row r="128" spans="5:7" ht="14.25" customHeight="1" x14ac:dyDescent="0.25">
      <c r="E128" s="119"/>
      <c r="G128" s="119"/>
    </row>
    <row r="129" spans="5:7" ht="14.25" customHeight="1" x14ac:dyDescent="0.25">
      <c r="E129" s="119"/>
      <c r="G129" s="119"/>
    </row>
    <row r="130" spans="5:7" ht="14.25" customHeight="1" x14ac:dyDescent="0.25">
      <c r="E130" s="119"/>
      <c r="G130" s="119"/>
    </row>
    <row r="131" spans="5:7" ht="14.25" customHeight="1" x14ac:dyDescent="0.25">
      <c r="E131" s="119"/>
      <c r="G131" s="119"/>
    </row>
    <row r="132" spans="5:7" ht="14.25" customHeight="1" x14ac:dyDescent="0.25">
      <c r="E132" s="119"/>
      <c r="G132" s="119"/>
    </row>
    <row r="133" spans="5:7" ht="14.25" customHeight="1" x14ac:dyDescent="0.25">
      <c r="E133" s="119"/>
      <c r="G133" s="119"/>
    </row>
    <row r="134" spans="5:7" ht="14.25" customHeight="1" x14ac:dyDescent="0.25">
      <c r="E134" s="119"/>
      <c r="G134" s="119"/>
    </row>
    <row r="135" spans="5:7" ht="14.25" customHeight="1" x14ac:dyDescent="0.25">
      <c r="E135" s="119"/>
      <c r="G135" s="119"/>
    </row>
    <row r="136" spans="5:7" ht="14.25" customHeight="1" x14ac:dyDescent="0.25">
      <c r="E136" s="119"/>
      <c r="G136" s="119"/>
    </row>
    <row r="137" spans="5:7" ht="14.25" customHeight="1" x14ac:dyDescent="0.25">
      <c r="E137" s="119"/>
      <c r="G137" s="119"/>
    </row>
    <row r="138" spans="5:7" ht="14.25" customHeight="1" x14ac:dyDescent="0.25">
      <c r="E138" s="119"/>
      <c r="G138" s="119"/>
    </row>
    <row r="139" spans="5:7" ht="14.25" customHeight="1" x14ac:dyDescent="0.25">
      <c r="E139" s="119"/>
      <c r="G139" s="119"/>
    </row>
    <row r="140" spans="5:7" ht="14.25" customHeight="1" x14ac:dyDescent="0.25">
      <c r="E140" s="119"/>
      <c r="G140" s="119"/>
    </row>
    <row r="141" spans="5:7" ht="14.25" customHeight="1" x14ac:dyDescent="0.25">
      <c r="E141" s="119"/>
      <c r="G141" s="119"/>
    </row>
    <row r="142" spans="5:7" ht="14.25" customHeight="1" x14ac:dyDescent="0.25">
      <c r="E142" s="119"/>
      <c r="G142" s="119"/>
    </row>
    <row r="143" spans="5:7" ht="14.25" customHeight="1" x14ac:dyDescent="0.25">
      <c r="E143" s="119"/>
      <c r="G143" s="119"/>
    </row>
    <row r="144" spans="5:7" ht="14.25" customHeight="1" x14ac:dyDescent="0.25">
      <c r="E144" s="119"/>
      <c r="G144" s="119"/>
    </row>
    <row r="145" spans="5:7" ht="14.25" customHeight="1" x14ac:dyDescent="0.25">
      <c r="E145" s="119"/>
      <c r="G145" s="119"/>
    </row>
    <row r="146" spans="5:7" ht="14.25" customHeight="1" x14ac:dyDescent="0.25">
      <c r="E146" s="119"/>
      <c r="G146" s="119"/>
    </row>
    <row r="147" spans="5:7" ht="14.25" customHeight="1" x14ac:dyDescent="0.25">
      <c r="E147" s="119"/>
      <c r="G147" s="119"/>
    </row>
    <row r="148" spans="5:7" ht="14.25" customHeight="1" x14ac:dyDescent="0.25">
      <c r="E148" s="119"/>
      <c r="G148" s="119"/>
    </row>
    <row r="149" spans="5:7" ht="14.25" customHeight="1" x14ac:dyDescent="0.25">
      <c r="E149" s="119"/>
      <c r="G149" s="119"/>
    </row>
    <row r="150" spans="5:7" ht="14.25" customHeight="1" x14ac:dyDescent="0.25">
      <c r="E150" s="119"/>
      <c r="G150" s="119"/>
    </row>
    <row r="151" spans="5:7" ht="14.25" customHeight="1" x14ac:dyDescent="0.25">
      <c r="E151" s="119"/>
      <c r="G151" s="119"/>
    </row>
    <row r="152" spans="5:7" ht="14.25" customHeight="1" x14ac:dyDescent="0.25">
      <c r="E152" s="119"/>
      <c r="G152" s="119"/>
    </row>
    <row r="153" spans="5:7" ht="14.25" customHeight="1" x14ac:dyDescent="0.25">
      <c r="E153" s="119"/>
      <c r="G153" s="119"/>
    </row>
    <row r="154" spans="5:7" ht="14.25" customHeight="1" x14ac:dyDescent="0.25">
      <c r="E154" s="119"/>
      <c r="G154" s="119"/>
    </row>
    <row r="155" spans="5:7" ht="14.25" customHeight="1" x14ac:dyDescent="0.25">
      <c r="E155" s="119"/>
      <c r="G155" s="119"/>
    </row>
    <row r="156" spans="5:7" ht="14.25" customHeight="1" x14ac:dyDescent="0.25">
      <c r="E156" s="119"/>
      <c r="G156" s="119"/>
    </row>
    <row r="157" spans="5:7" ht="14.25" customHeight="1" x14ac:dyDescent="0.25">
      <c r="E157" s="119"/>
      <c r="G157" s="119"/>
    </row>
    <row r="158" spans="5:7" ht="14.25" customHeight="1" x14ac:dyDescent="0.25">
      <c r="E158" s="119"/>
      <c r="G158" s="119"/>
    </row>
    <row r="159" spans="5:7" ht="14.25" customHeight="1" x14ac:dyDescent="0.25">
      <c r="E159" s="119"/>
      <c r="G159" s="119"/>
    </row>
    <row r="160" spans="5:7" ht="14.25" customHeight="1" x14ac:dyDescent="0.25">
      <c r="E160" s="119"/>
      <c r="G160" s="119"/>
    </row>
    <row r="161" spans="5:7" ht="14.25" customHeight="1" x14ac:dyDescent="0.25">
      <c r="E161" s="119"/>
      <c r="G161" s="119"/>
    </row>
    <row r="162" spans="5:7" ht="14.25" customHeight="1" x14ac:dyDescent="0.25">
      <c r="E162" s="119"/>
      <c r="G162" s="119"/>
    </row>
    <row r="163" spans="5:7" ht="14.25" customHeight="1" x14ac:dyDescent="0.25">
      <c r="E163" s="119"/>
      <c r="G163" s="119"/>
    </row>
    <row r="164" spans="5:7" ht="14.25" customHeight="1" x14ac:dyDescent="0.25">
      <c r="E164" s="119"/>
      <c r="G164" s="119"/>
    </row>
    <row r="165" spans="5:7" ht="14.25" customHeight="1" x14ac:dyDescent="0.25">
      <c r="E165" s="119"/>
      <c r="G165" s="119"/>
    </row>
    <row r="166" spans="5:7" ht="14.25" customHeight="1" x14ac:dyDescent="0.25">
      <c r="E166" s="119"/>
      <c r="G166" s="119"/>
    </row>
    <row r="167" spans="5:7" ht="14.25" customHeight="1" x14ac:dyDescent="0.25">
      <c r="E167" s="119"/>
      <c r="G167" s="119"/>
    </row>
    <row r="168" spans="5:7" ht="14.25" customHeight="1" x14ac:dyDescent="0.25">
      <c r="E168" s="119"/>
      <c r="G168" s="119"/>
    </row>
    <row r="169" spans="5:7" ht="14.25" customHeight="1" x14ac:dyDescent="0.25">
      <c r="E169" s="119"/>
      <c r="G169" s="119"/>
    </row>
    <row r="170" spans="5:7" ht="14.25" customHeight="1" x14ac:dyDescent="0.25">
      <c r="E170" s="119"/>
      <c r="G170" s="119"/>
    </row>
    <row r="171" spans="5:7" ht="14.25" customHeight="1" x14ac:dyDescent="0.25">
      <c r="E171" s="119"/>
      <c r="G171" s="119"/>
    </row>
    <row r="172" spans="5:7" ht="14.25" customHeight="1" x14ac:dyDescent="0.25">
      <c r="E172" s="119"/>
      <c r="G172" s="119"/>
    </row>
    <row r="173" spans="5:7" ht="14.25" customHeight="1" x14ac:dyDescent="0.25">
      <c r="E173" s="119"/>
      <c r="G173" s="119"/>
    </row>
    <row r="174" spans="5:7" ht="14.25" customHeight="1" x14ac:dyDescent="0.25">
      <c r="E174" s="119"/>
      <c r="G174" s="119"/>
    </row>
    <row r="175" spans="5:7" ht="14.25" customHeight="1" x14ac:dyDescent="0.25">
      <c r="E175" s="119"/>
      <c r="G175" s="119"/>
    </row>
    <row r="176" spans="5:7" ht="14.25" customHeight="1" x14ac:dyDescent="0.25">
      <c r="E176" s="119"/>
      <c r="G176" s="119"/>
    </row>
    <row r="177" spans="5:7" ht="14.25" customHeight="1" x14ac:dyDescent="0.25">
      <c r="E177" s="119"/>
      <c r="G177" s="119"/>
    </row>
    <row r="178" spans="5:7" ht="14.25" customHeight="1" x14ac:dyDescent="0.25">
      <c r="E178" s="119"/>
      <c r="G178" s="119"/>
    </row>
    <row r="179" spans="5:7" ht="14.25" customHeight="1" x14ac:dyDescent="0.25">
      <c r="E179" s="119"/>
      <c r="G179" s="119"/>
    </row>
    <row r="180" spans="5:7" ht="14.25" customHeight="1" x14ac:dyDescent="0.25">
      <c r="E180" s="119"/>
      <c r="G180" s="119"/>
    </row>
    <row r="181" spans="5:7" ht="14.25" customHeight="1" x14ac:dyDescent="0.25">
      <c r="E181" s="119"/>
      <c r="G181" s="119"/>
    </row>
    <row r="182" spans="5:7" ht="14.25" customHeight="1" x14ac:dyDescent="0.25">
      <c r="E182" s="119"/>
      <c r="G182" s="119"/>
    </row>
    <row r="183" spans="5:7" ht="14.25" customHeight="1" x14ac:dyDescent="0.25">
      <c r="E183" s="119"/>
      <c r="G183" s="119"/>
    </row>
    <row r="184" spans="5:7" ht="14.25" customHeight="1" x14ac:dyDescent="0.25">
      <c r="E184" s="119"/>
      <c r="G184" s="119"/>
    </row>
    <row r="185" spans="5:7" ht="14.25" customHeight="1" x14ac:dyDescent="0.25">
      <c r="E185" s="119"/>
      <c r="G185" s="119"/>
    </row>
    <row r="186" spans="5:7" ht="14.25" customHeight="1" x14ac:dyDescent="0.25">
      <c r="E186" s="119"/>
      <c r="G186" s="119"/>
    </row>
    <row r="187" spans="5:7" ht="14.25" customHeight="1" x14ac:dyDescent="0.25">
      <c r="E187" s="119"/>
      <c r="G187" s="119"/>
    </row>
    <row r="188" spans="5:7" ht="14.25" customHeight="1" x14ac:dyDescent="0.25">
      <c r="E188" s="119"/>
      <c r="G188" s="119"/>
    </row>
    <row r="189" spans="5:7" ht="14.25" customHeight="1" x14ac:dyDescent="0.25">
      <c r="E189" s="119"/>
      <c r="G189" s="119"/>
    </row>
    <row r="190" spans="5:7" ht="14.25" customHeight="1" x14ac:dyDescent="0.25">
      <c r="E190" s="119"/>
      <c r="G190" s="119"/>
    </row>
    <row r="191" spans="5:7" ht="14.25" customHeight="1" x14ac:dyDescent="0.25">
      <c r="E191" s="119"/>
      <c r="G191" s="119"/>
    </row>
    <row r="192" spans="5:7" ht="14.25" customHeight="1" x14ac:dyDescent="0.25">
      <c r="E192" s="119"/>
      <c r="G192" s="119"/>
    </row>
    <row r="193" spans="5:7" ht="14.25" customHeight="1" x14ac:dyDescent="0.25">
      <c r="E193" s="119"/>
      <c r="G193" s="119"/>
    </row>
    <row r="194" spans="5:7" ht="14.25" customHeight="1" x14ac:dyDescent="0.25">
      <c r="E194" s="119"/>
      <c r="G194" s="119"/>
    </row>
    <row r="195" spans="5:7" ht="14.25" customHeight="1" x14ac:dyDescent="0.25">
      <c r="E195" s="119"/>
      <c r="G195" s="119"/>
    </row>
    <row r="196" spans="5:7" ht="14.25" customHeight="1" x14ac:dyDescent="0.25">
      <c r="E196" s="119"/>
      <c r="G196" s="119"/>
    </row>
    <row r="197" spans="5:7" ht="14.25" customHeight="1" x14ac:dyDescent="0.25">
      <c r="E197" s="119"/>
      <c r="G197" s="119"/>
    </row>
    <row r="198" spans="5:7" ht="14.25" customHeight="1" x14ac:dyDescent="0.25">
      <c r="E198" s="119"/>
      <c r="G198" s="119"/>
    </row>
    <row r="199" spans="5:7" ht="14.25" customHeight="1" x14ac:dyDescent="0.25">
      <c r="E199" s="119"/>
      <c r="G199" s="119"/>
    </row>
    <row r="200" spans="5:7" ht="14.25" customHeight="1" x14ac:dyDescent="0.25">
      <c r="E200" s="119"/>
      <c r="G200" s="119"/>
    </row>
    <row r="201" spans="5:7" ht="14.25" customHeight="1" x14ac:dyDescent="0.25">
      <c r="E201" s="119"/>
      <c r="G201" s="119"/>
    </row>
    <row r="202" spans="5:7" ht="14.25" customHeight="1" x14ac:dyDescent="0.25">
      <c r="E202" s="119"/>
      <c r="G202" s="119"/>
    </row>
    <row r="203" spans="5:7" ht="14.25" customHeight="1" x14ac:dyDescent="0.25">
      <c r="E203" s="119"/>
      <c r="G203" s="119"/>
    </row>
    <row r="204" spans="5:7" ht="14.25" customHeight="1" x14ac:dyDescent="0.25">
      <c r="E204" s="119"/>
      <c r="G204" s="119"/>
    </row>
    <row r="205" spans="5:7" ht="14.25" customHeight="1" x14ac:dyDescent="0.25">
      <c r="E205" s="119"/>
      <c r="G205" s="119"/>
    </row>
    <row r="206" spans="5:7" ht="14.25" customHeight="1" x14ac:dyDescent="0.25">
      <c r="E206" s="119"/>
      <c r="G206" s="119"/>
    </row>
    <row r="207" spans="5:7" ht="14.25" customHeight="1" x14ac:dyDescent="0.25">
      <c r="E207" s="119"/>
      <c r="G207" s="119"/>
    </row>
    <row r="208" spans="5:7" ht="14.25" customHeight="1" x14ac:dyDescent="0.25">
      <c r="E208" s="119"/>
      <c r="G208" s="119"/>
    </row>
    <row r="209" spans="5:7" ht="14.25" customHeight="1" x14ac:dyDescent="0.25">
      <c r="E209" s="119"/>
      <c r="G209" s="119"/>
    </row>
    <row r="210" spans="5:7" ht="14.25" customHeight="1" x14ac:dyDescent="0.25">
      <c r="E210" s="119"/>
      <c r="G210" s="119"/>
    </row>
    <row r="211" spans="5:7" ht="14.25" customHeight="1" x14ac:dyDescent="0.25">
      <c r="E211" s="119"/>
      <c r="G211" s="119"/>
    </row>
    <row r="212" spans="5:7" ht="14.25" customHeight="1" x14ac:dyDescent="0.25">
      <c r="E212" s="119"/>
      <c r="G212" s="119"/>
    </row>
    <row r="213" spans="5:7" ht="14.25" customHeight="1" x14ac:dyDescent="0.25">
      <c r="E213" s="119"/>
      <c r="G213" s="119"/>
    </row>
    <row r="214" spans="5:7" ht="14.25" customHeight="1" x14ac:dyDescent="0.25">
      <c r="E214" s="119"/>
      <c r="G214" s="119"/>
    </row>
    <row r="215" spans="5:7" ht="14.25" customHeight="1" x14ac:dyDescent="0.25">
      <c r="E215" s="119"/>
      <c r="G215" s="119"/>
    </row>
    <row r="216" spans="5:7" ht="14.25" customHeight="1" x14ac:dyDescent="0.25">
      <c r="E216" s="119"/>
      <c r="G216" s="119"/>
    </row>
    <row r="217" spans="5:7" ht="14.25" customHeight="1" x14ac:dyDescent="0.25">
      <c r="E217" s="119"/>
      <c r="G217" s="119"/>
    </row>
    <row r="218" spans="5:7" ht="14.25" customHeight="1" x14ac:dyDescent="0.25">
      <c r="E218" s="119"/>
      <c r="G218" s="119"/>
    </row>
    <row r="219" spans="5:7" ht="14.25" customHeight="1" x14ac:dyDescent="0.25">
      <c r="E219" s="119"/>
      <c r="G219" s="119"/>
    </row>
    <row r="220" spans="5:7" ht="14.25" customHeight="1" x14ac:dyDescent="0.25">
      <c r="E220" s="119"/>
      <c r="G220" s="119"/>
    </row>
    <row r="221" spans="5:7" ht="14.25" customHeight="1" x14ac:dyDescent="0.25">
      <c r="E221" s="119"/>
      <c r="G221" s="119"/>
    </row>
    <row r="222" spans="5:7" ht="14.25" customHeight="1" x14ac:dyDescent="0.25">
      <c r="E222" s="119"/>
      <c r="G222" s="119"/>
    </row>
    <row r="223" spans="5:7" ht="14.25" customHeight="1" x14ac:dyDescent="0.25">
      <c r="E223" s="119"/>
      <c r="G223" s="119"/>
    </row>
    <row r="224" spans="5:7" ht="14.25" customHeight="1" x14ac:dyDescent="0.25">
      <c r="E224" s="119"/>
      <c r="G224" s="119"/>
    </row>
    <row r="225" spans="5:7" ht="14.25" customHeight="1" x14ac:dyDescent="0.25">
      <c r="E225" s="119"/>
      <c r="G225" s="119"/>
    </row>
    <row r="226" spans="5:7" ht="14.25" customHeight="1" x14ac:dyDescent="0.25">
      <c r="E226" s="119"/>
      <c r="G226" s="119"/>
    </row>
    <row r="227" spans="5:7" ht="14.25" customHeight="1" x14ac:dyDescent="0.25">
      <c r="E227" s="119"/>
      <c r="G227" s="119"/>
    </row>
    <row r="228" spans="5:7" ht="14.25" customHeight="1" x14ac:dyDescent="0.25">
      <c r="E228" s="119"/>
      <c r="G228" s="119"/>
    </row>
    <row r="229" spans="5:7" ht="14.25" customHeight="1" x14ac:dyDescent="0.25">
      <c r="E229" s="119"/>
      <c r="G229" s="119"/>
    </row>
    <row r="230" spans="5:7" ht="14.25" customHeight="1" x14ac:dyDescent="0.25">
      <c r="E230" s="119"/>
      <c r="G230" s="119"/>
    </row>
    <row r="231" spans="5:7" ht="14.25" customHeight="1" x14ac:dyDescent="0.25">
      <c r="E231" s="119"/>
      <c r="G231" s="119"/>
    </row>
    <row r="232" spans="5:7" ht="14.25" customHeight="1" x14ac:dyDescent="0.25">
      <c r="E232" s="119"/>
      <c r="G232" s="119"/>
    </row>
    <row r="233" spans="5:7" ht="14.25" customHeight="1" x14ac:dyDescent="0.25">
      <c r="E233" s="119"/>
      <c r="G233" s="119"/>
    </row>
    <row r="234" spans="5:7" ht="14.25" customHeight="1" x14ac:dyDescent="0.25">
      <c r="E234" s="119"/>
      <c r="G234" s="119"/>
    </row>
    <row r="235" spans="5:7" ht="14.25" customHeight="1" x14ac:dyDescent="0.25"/>
    <row r="236" spans="5:7" ht="14.25" customHeight="1" x14ac:dyDescent="0.25"/>
    <row r="237" spans="5:7" ht="14.25" customHeight="1" x14ac:dyDescent="0.25"/>
    <row r="238" spans="5:7" ht="14.25" customHeight="1" x14ac:dyDescent="0.25"/>
    <row r="239" spans="5:7" ht="14.25" customHeight="1" x14ac:dyDescent="0.25"/>
    <row r="240" spans="5:7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 </vt:lpstr>
      <vt:lpstr>DTA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COMPRAS</dc:creator>
  <cp:lastModifiedBy>Merida2</cp:lastModifiedBy>
  <dcterms:created xsi:type="dcterms:W3CDTF">2025-01-23T19:36:37Z</dcterms:created>
  <dcterms:modified xsi:type="dcterms:W3CDTF">2026-09-05T19:21:23Z</dcterms:modified>
</cp:coreProperties>
</file>