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fgr\Downloads\"/>
    </mc:Choice>
  </mc:AlternateContent>
  <xr:revisionPtr revIDLastSave="0" documentId="13_ncr:1_{C849B2A2-8E6C-47BD-B9A6-35DD5AE2CED4}" xr6:coauthVersionLast="47" xr6:coauthVersionMax="47" xr10:uidLastSave="{00000000-0000-0000-0000-000000000000}"/>
  <workbookProtection workbookAlgorithmName="SHA-512" workbookHashValue="+sX2zfQWWqPxKfJ4WItFKL18jAz+CwJu1dwCkW8fc38ChihivnnQiROXXoE2cY6EKkcnY+6v7tEutZfUQZKaHg==" workbookSaltValue="cQ2vnoFSCj3vLr/mm8gVmA==" workbookSpinCount="100000" lockStructure="1"/>
  <bookViews>
    <workbookView xWindow="-108" yWindow="-108" windowWidth="23256" windowHeight="12456" tabRatio="844" activeTab="3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definedNames>
    <definedName name="_xlnm.Print_Area" localSheetId="0">'01'!$B$1:$G$84</definedName>
    <definedName name="_xlnm.Print_Area" localSheetId="1">'02'!$B$1:$G$84</definedName>
    <definedName name="_xlnm.Print_Area" localSheetId="2">'03'!$B$1:$G$84</definedName>
    <definedName name="_xlnm.Print_Area" localSheetId="3">'04'!$B$1:$G$84</definedName>
    <definedName name="_xlnm.Print_Area" localSheetId="4">'05'!$B$1:$G$84</definedName>
    <definedName name="_xlnm.Print_Area" localSheetId="5">'06'!$B$1:$G$84</definedName>
    <definedName name="_xlnm.Print_Area" localSheetId="6">'07'!$B$1:$G$84</definedName>
    <definedName name="_xlnm.Print_Area" localSheetId="7">'08'!$B$1:$G$84</definedName>
    <definedName name="_xlnm.Print_Area" localSheetId="8">'09'!$B$1:$G$84</definedName>
    <definedName name="_xlnm.Print_Area" localSheetId="9">'10'!$B$1:$G$84</definedName>
    <definedName name="_xlnm.Print_Area" localSheetId="10">'11'!$B$1:$G$84</definedName>
    <definedName name="_xlnm.Print_Area" localSheetId="11">'12'!$B$1:$G$84</definedName>
    <definedName name="_xlnm.Print_Area" localSheetId="12">'13'!$B$1:$G$84</definedName>
    <definedName name="_xlnm.Print_Area" localSheetId="13">'14'!$B$1:$G$84</definedName>
    <definedName name="_xlnm.Print_Area" localSheetId="14">'15'!$B$1:$G$84</definedName>
    <definedName name="_xlnm.Print_Area" localSheetId="15">'16'!$B$1:$G$84</definedName>
    <definedName name="_xlnm.Print_Area" localSheetId="16">'17'!$B$1:$G$84</definedName>
    <definedName name="_xlnm.Print_Area" localSheetId="17">'18'!$B$1:$G$84</definedName>
    <definedName name="_xlnm.Print_Area" localSheetId="18">'19'!$B$1:$G$84</definedName>
    <definedName name="_xlnm.Print_Area" localSheetId="19">'20'!$B$1:$G$84</definedName>
    <definedName name="_xlnm.Print_Area" localSheetId="20">'21'!$B$1:$G$84</definedName>
    <definedName name="_xlnm.Print_Area" localSheetId="21">'22'!$B$1:$G$84</definedName>
    <definedName name="_xlnm.Print_Area" localSheetId="22">'23'!$B$1:$G$84</definedName>
    <definedName name="_xlnm.Print_Area" localSheetId="23">'24'!$B$1:$G$84</definedName>
    <definedName name="_xlnm.Print_Area" localSheetId="24">'25'!$B$1:$G$84</definedName>
    <definedName name="_xlnm.Print_Area" localSheetId="25">'26'!$B$1:$G$84</definedName>
    <definedName name="_xlnm.Print_Area" localSheetId="26">'27'!$B$1:$G$84</definedName>
    <definedName name="_xlnm.Print_Area" localSheetId="27">'28'!$B$1:$G$84</definedName>
    <definedName name="_xlnm.Print_Area" localSheetId="28">'29'!$B$1:$G$84</definedName>
    <definedName name="_xlnm.Print_Area" localSheetId="29">'30'!$B$1:$G$84</definedName>
    <definedName name="_xlnm.Print_Area" localSheetId="30">'31'!$B$1:$G$84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E23" i="1"/>
  <c r="E22" i="1"/>
  <c r="E11" i="8"/>
  <c r="E11" i="7"/>
  <c r="G72" i="31"/>
  <c r="G76" i="31" s="1"/>
  <c r="E40" i="31"/>
  <c r="E34" i="31"/>
  <c r="E28" i="31"/>
  <c r="E21" i="31"/>
  <c r="E46" i="31" s="1"/>
  <c r="E16" i="31"/>
  <c r="E9" i="31"/>
  <c r="G72" i="30"/>
  <c r="G76" i="30" s="1"/>
  <c r="E40" i="30"/>
  <c r="E34" i="30"/>
  <c r="E28" i="30"/>
  <c r="E21" i="30"/>
  <c r="E16" i="30"/>
  <c r="E9" i="30"/>
  <c r="G72" i="29"/>
  <c r="G76" i="29" s="1"/>
  <c r="E40" i="29"/>
  <c r="E34" i="29"/>
  <c r="E28" i="29"/>
  <c r="E21" i="29"/>
  <c r="E46" i="29" s="1"/>
  <c r="E16" i="29"/>
  <c r="E9" i="29"/>
  <c r="G72" i="28"/>
  <c r="G76" i="28" s="1"/>
  <c r="E40" i="28"/>
  <c r="E34" i="28"/>
  <c r="E28" i="28"/>
  <c r="E21" i="28"/>
  <c r="E46" i="28" s="1"/>
  <c r="E16" i="28"/>
  <c r="E9" i="28"/>
  <c r="G76" i="27"/>
  <c r="G72" i="27"/>
  <c r="E40" i="27"/>
  <c r="E34" i="27"/>
  <c r="E28" i="27"/>
  <c r="E21" i="27"/>
  <c r="E16" i="27"/>
  <c r="E9" i="27"/>
  <c r="G72" i="26"/>
  <c r="G76" i="26" s="1"/>
  <c r="E40" i="26"/>
  <c r="E34" i="26"/>
  <c r="E28" i="26"/>
  <c r="E21" i="26"/>
  <c r="E46" i="26" s="1"/>
  <c r="E16" i="26"/>
  <c r="E9" i="26"/>
  <c r="G72" i="25"/>
  <c r="G76" i="25" s="1"/>
  <c r="E40" i="25"/>
  <c r="E34" i="25"/>
  <c r="E28" i="25"/>
  <c r="E21" i="25"/>
  <c r="E16" i="25"/>
  <c r="E9" i="25"/>
  <c r="G72" i="24"/>
  <c r="G76" i="24" s="1"/>
  <c r="E40" i="24"/>
  <c r="E34" i="24"/>
  <c r="E28" i="24"/>
  <c r="E21" i="24"/>
  <c r="E46" i="24" s="1"/>
  <c r="E16" i="24"/>
  <c r="E9" i="24"/>
  <c r="G72" i="23"/>
  <c r="G76" i="23" s="1"/>
  <c r="E40" i="23"/>
  <c r="E34" i="23"/>
  <c r="E28" i="23"/>
  <c r="E21" i="23"/>
  <c r="E16" i="23"/>
  <c r="E9" i="23"/>
  <c r="G72" i="22"/>
  <c r="G76" i="22" s="1"/>
  <c r="E40" i="22"/>
  <c r="E34" i="22"/>
  <c r="E28" i="22"/>
  <c r="E21" i="22"/>
  <c r="E46" i="22" s="1"/>
  <c r="E16" i="22"/>
  <c r="E9" i="22"/>
  <c r="G72" i="21"/>
  <c r="G76" i="21" s="1"/>
  <c r="E40" i="21"/>
  <c r="E34" i="21"/>
  <c r="E28" i="21"/>
  <c r="E21" i="21"/>
  <c r="E16" i="21"/>
  <c r="E9" i="21"/>
  <c r="G72" i="20"/>
  <c r="G76" i="20" s="1"/>
  <c r="E40" i="20"/>
  <c r="E34" i="20"/>
  <c r="E28" i="20"/>
  <c r="E21" i="20"/>
  <c r="E16" i="20"/>
  <c r="E9" i="20"/>
  <c r="G72" i="19"/>
  <c r="G76" i="19" s="1"/>
  <c r="E40" i="19"/>
  <c r="E34" i="19"/>
  <c r="E28" i="19"/>
  <c r="E21" i="19"/>
  <c r="E16" i="19"/>
  <c r="E9" i="19"/>
  <c r="G72" i="18"/>
  <c r="G76" i="18" s="1"/>
  <c r="E40" i="18"/>
  <c r="E34" i="18"/>
  <c r="E28" i="18"/>
  <c r="E21" i="18"/>
  <c r="E16" i="18"/>
  <c r="E9" i="18"/>
  <c r="G72" i="17"/>
  <c r="G76" i="17" s="1"/>
  <c r="E40" i="17"/>
  <c r="E34" i="17"/>
  <c r="E28" i="17"/>
  <c r="E21" i="17"/>
  <c r="E16" i="17"/>
  <c r="E9" i="17"/>
  <c r="G72" i="16"/>
  <c r="G76" i="16" s="1"/>
  <c r="E40" i="16"/>
  <c r="E34" i="16"/>
  <c r="E28" i="16"/>
  <c r="E21" i="16"/>
  <c r="E16" i="16"/>
  <c r="E9" i="16"/>
  <c r="G72" i="15"/>
  <c r="G76" i="15" s="1"/>
  <c r="E40" i="15"/>
  <c r="E34" i="15"/>
  <c r="E28" i="15"/>
  <c r="E21" i="15"/>
  <c r="E16" i="15"/>
  <c r="E9" i="15"/>
  <c r="G72" i="14"/>
  <c r="G76" i="14" s="1"/>
  <c r="E40" i="14"/>
  <c r="E34" i="14"/>
  <c r="E28" i="14"/>
  <c r="E21" i="14"/>
  <c r="E16" i="14"/>
  <c r="E9" i="14"/>
  <c r="G72" i="13"/>
  <c r="G76" i="13" s="1"/>
  <c r="E40" i="13"/>
  <c r="E34" i="13"/>
  <c r="E28" i="13"/>
  <c r="E21" i="13"/>
  <c r="E16" i="13"/>
  <c r="E9" i="13"/>
  <c r="G72" i="12"/>
  <c r="G76" i="12" s="1"/>
  <c r="E40" i="12"/>
  <c r="E34" i="12"/>
  <c r="E28" i="12"/>
  <c r="E21" i="12"/>
  <c r="E16" i="12"/>
  <c r="E9" i="12"/>
  <c r="G72" i="11"/>
  <c r="G76" i="11" s="1"/>
  <c r="E40" i="11"/>
  <c r="E34" i="11"/>
  <c r="E28" i="11"/>
  <c r="E21" i="11"/>
  <c r="E16" i="11"/>
  <c r="E9" i="11"/>
  <c r="G72" i="10"/>
  <c r="G76" i="10" s="1"/>
  <c r="E40" i="10"/>
  <c r="E34" i="10"/>
  <c r="E28" i="10"/>
  <c r="E21" i="10"/>
  <c r="E46" i="10" s="1"/>
  <c r="E16" i="10"/>
  <c r="E9" i="10"/>
  <c r="G72" i="9"/>
  <c r="G76" i="9" s="1"/>
  <c r="E40" i="9"/>
  <c r="E34" i="9"/>
  <c r="E28" i="9"/>
  <c r="E21" i="9"/>
  <c r="E16" i="9"/>
  <c r="E9" i="9"/>
  <c r="G72" i="8"/>
  <c r="G76" i="8" s="1"/>
  <c r="E40" i="8"/>
  <c r="E34" i="8"/>
  <c r="E28" i="8"/>
  <c r="E21" i="8"/>
  <c r="E16" i="8"/>
  <c r="E9" i="8"/>
  <c r="G72" i="7"/>
  <c r="G76" i="7" s="1"/>
  <c r="E40" i="7"/>
  <c r="E34" i="7"/>
  <c r="E28" i="7"/>
  <c r="E21" i="7"/>
  <c r="E16" i="7"/>
  <c r="E9" i="7"/>
  <c r="G72" i="6"/>
  <c r="G76" i="6" s="1"/>
  <c r="E40" i="6"/>
  <c r="E34" i="6"/>
  <c r="E28" i="6"/>
  <c r="E21" i="6"/>
  <c r="E16" i="6"/>
  <c r="E9" i="6"/>
  <c r="G72" i="5"/>
  <c r="G76" i="5" s="1"/>
  <c r="E40" i="5"/>
  <c r="E34" i="5"/>
  <c r="E28" i="5"/>
  <c r="E21" i="5"/>
  <c r="E16" i="5"/>
  <c r="E9" i="5"/>
  <c r="G72" i="4"/>
  <c r="G76" i="4" s="1"/>
  <c r="E40" i="4"/>
  <c r="E34" i="4"/>
  <c r="E28" i="4"/>
  <c r="E21" i="4"/>
  <c r="E16" i="4"/>
  <c r="E9" i="4"/>
  <c r="G72" i="3"/>
  <c r="G76" i="3" s="1"/>
  <c r="E40" i="3"/>
  <c r="E34" i="3"/>
  <c r="E28" i="3"/>
  <c r="E21" i="3"/>
  <c r="E16" i="3"/>
  <c r="E9" i="3"/>
  <c r="G72" i="2"/>
  <c r="G76" i="2" s="1"/>
  <c r="E40" i="2"/>
  <c r="E34" i="2"/>
  <c r="E28" i="2"/>
  <c r="E21" i="2"/>
  <c r="E16" i="2"/>
  <c r="E9" i="2"/>
  <c r="E9" i="1"/>
  <c r="E28" i="1"/>
  <c r="E46" i="12" l="1"/>
  <c r="E48" i="12" s="1"/>
  <c r="E49" i="12" s="1"/>
  <c r="E46" i="19"/>
  <c r="E46" i="14"/>
  <c r="E46" i="15"/>
  <c r="E46" i="9"/>
  <c r="E48" i="9" s="1"/>
  <c r="E49" i="9" s="1"/>
  <c r="E46" i="21"/>
  <c r="E46" i="16"/>
  <c r="E48" i="16" s="1"/>
  <c r="E49" i="16" s="1"/>
  <c r="E46" i="11"/>
  <c r="E46" i="23"/>
  <c r="E48" i="23" s="1"/>
  <c r="E49" i="23" s="1"/>
  <c r="E46" i="18"/>
  <c r="E48" i="18" s="1"/>
  <c r="E49" i="18" s="1"/>
  <c r="E46" i="25"/>
  <c r="E46" i="20"/>
  <c r="E48" i="20" s="1"/>
  <c r="E49" i="20" s="1"/>
  <c r="E46" i="27"/>
  <c r="E46" i="17"/>
  <c r="E48" i="17" s="1"/>
  <c r="E49" i="17" s="1"/>
  <c r="E46" i="4"/>
  <c r="E48" i="4" s="1"/>
  <c r="E49" i="4" s="1"/>
  <c r="E48" i="24"/>
  <c r="E49" i="24" s="1"/>
  <c r="E48" i="28"/>
  <c r="E49" i="28" s="1"/>
  <c r="E46" i="13"/>
  <c r="E48" i="13" s="1"/>
  <c r="E49" i="13" s="1"/>
  <c r="E46" i="3"/>
  <c r="E48" i="3" s="1"/>
  <c r="E49" i="3" s="1"/>
  <c r="E46" i="30"/>
  <c r="E48" i="30" s="1"/>
  <c r="E49" i="30" s="1"/>
  <c r="E48" i="22"/>
  <c r="E49" i="22" s="1"/>
  <c r="E48" i="21"/>
  <c r="E49" i="21" s="1"/>
  <c r="E48" i="27"/>
  <c r="E49" i="27" s="1"/>
  <c r="E46" i="2"/>
  <c r="E48" i="2" s="1"/>
  <c r="E49" i="2" s="1"/>
  <c r="E46" i="8"/>
  <c r="E46" i="7"/>
  <c r="E48" i="7" s="1"/>
  <c r="E49" i="7" s="1"/>
  <c r="E46" i="6"/>
  <c r="E48" i="6"/>
  <c r="E49" i="6" s="1"/>
  <c r="E46" i="5"/>
  <c r="E48" i="5" s="1"/>
  <c r="E49" i="5" s="1"/>
  <c r="E48" i="26"/>
  <c r="E49" i="26" s="1"/>
  <c r="E48" i="31"/>
  <c r="E49" i="31" s="1"/>
  <c r="E48" i="19"/>
  <c r="E49" i="19" s="1"/>
  <c r="E48" i="25"/>
  <c r="E49" i="25" s="1"/>
  <c r="E48" i="29"/>
  <c r="E49" i="29" s="1"/>
  <c r="E48" i="11"/>
  <c r="E49" i="11" s="1"/>
  <c r="E48" i="10"/>
  <c r="E49" i="10" s="1"/>
  <c r="E48" i="15"/>
  <c r="E49" i="15" s="1"/>
  <c r="E48" i="14"/>
  <c r="E49" i="14" s="1"/>
  <c r="E48" i="8"/>
  <c r="E49" i="8" s="1"/>
  <c r="E40" i="1"/>
  <c r="E16" i="1"/>
  <c r="G72" i="1"/>
  <c r="G76" i="1" s="1"/>
  <c r="E21" i="1"/>
  <c r="E34" i="1"/>
  <c r="E46" i="1" l="1"/>
  <c r="E48" i="1" s="1"/>
  <c r="E49" i="1" s="1"/>
</calcChain>
</file>

<file path=xl/sharedStrings.xml><?xml version="1.0" encoding="utf-8"?>
<sst xmlns="http://schemas.openxmlformats.org/spreadsheetml/2006/main" count="1474" uniqueCount="46">
  <si>
    <t>FACTURACIÓN TOTAL</t>
  </si>
  <si>
    <t>CLIENTES</t>
  </si>
  <si>
    <t>OBSERVACIONES:</t>
  </si>
  <si>
    <t>DEL:</t>
  </si>
  <si>
    <t>TOTAL TARJETAS:</t>
  </si>
  <si>
    <t>AFIRME</t>
  </si>
  <si>
    <t>VENTA NETA SISTEMA</t>
  </si>
  <si>
    <t>DIFERENCIA</t>
  </si>
  <si>
    <t>TICKET</t>
  </si>
  <si>
    <t>FOLIO FACTURA</t>
  </si>
  <si>
    <t>IMPORTE</t>
  </si>
  <si>
    <t>T. CRÉDITO</t>
  </si>
  <si>
    <t>T. DÉBITO</t>
  </si>
  <si>
    <t>T. EXTRANJERAS</t>
  </si>
  <si>
    <t>T. AMEX</t>
  </si>
  <si>
    <t>T. CRÉDITO + PUNTOS</t>
  </si>
  <si>
    <t>T. PROMOCIONES</t>
  </si>
  <si>
    <t>EFECTIVO</t>
  </si>
  <si>
    <t>FECHA</t>
  </si>
  <si>
    <t>TARJETAS</t>
  </si>
  <si>
    <t>FACTURAS</t>
  </si>
  <si>
    <t>TICKETS</t>
  </si>
  <si>
    <t>PÚBLICO EN GENERAL</t>
  </si>
  <si>
    <t>ELABORÓ (NOMBRE Y FIRMA):</t>
  </si>
  <si>
    <t>EFECTIVO, TRANSFERENCIAS  Y TARJETAS</t>
  </si>
  <si>
    <t>TRANSFERENCIAS</t>
  </si>
  <si>
    <t>BANAMEX</t>
  </si>
  <si>
    <t>CAJA 1</t>
  </si>
  <si>
    <t>CAJA 2</t>
  </si>
  <si>
    <t>HAY CASH</t>
  </si>
  <si>
    <t>BBVA</t>
  </si>
  <si>
    <t>CORTE DE CAJA
ADIDAS PERFORMANCE ALTABRISA MÉRIDA</t>
  </si>
  <si>
    <t>8013-8034</t>
  </si>
  <si>
    <t>F 292</t>
  </si>
  <si>
    <t>8035-8060</t>
  </si>
  <si>
    <t>F 308</t>
  </si>
  <si>
    <t>8061-8109</t>
  </si>
  <si>
    <t>F 332</t>
  </si>
  <si>
    <t>NC 72</t>
  </si>
  <si>
    <t>8110-8154</t>
  </si>
  <si>
    <t>F 356</t>
  </si>
  <si>
    <t>01-09-2026</t>
  </si>
  <si>
    <t>19864-19879</t>
  </si>
  <si>
    <t>19869-19874</t>
  </si>
  <si>
    <t>72-89</t>
  </si>
  <si>
    <t xml:space="preserve">LUIS GARCIA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</si>
</sst>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[$-80A]d&quot; de &quot;mmmm&quot; de &quot;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2060"/>
      <name val="Miriam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.5"/>
      <name val="Arial"/>
      <family val="2"/>
    </font>
    <font>
      <b/>
      <sz val="11.5"/>
      <name val="Arial"/>
      <family val="2"/>
    </font>
    <font>
      <b/>
      <i/>
      <u/>
      <sz val="11.5"/>
      <name val="Arial"/>
      <family val="2"/>
    </font>
    <font>
      <b/>
      <i/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theme="1"/>
      <name val="Arial"/>
      <family val="2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6EBF6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6">
    <xf numFmtId="0" fontId="0" fillId="0" borderId="0" xfId="0"/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5" fillId="2" borderId="0" xfId="0" applyFont="1" applyFill="1"/>
    <xf numFmtId="0" fontId="5" fillId="2" borderId="0" xfId="0" applyFont="1" applyFill="1" applyAlignment="1" applyProtection="1">
      <alignment horizontal="center"/>
      <protection locked="0"/>
    </xf>
    <xf numFmtId="0" fontId="6" fillId="4" borderId="0" xfId="0" applyFont="1" applyFill="1" applyAlignment="1">
      <alignment horizontal="center" vertical="center"/>
    </xf>
    <xf numFmtId="8" fontId="6" fillId="2" borderId="0" xfId="0" applyNumberFormat="1" applyFont="1" applyFill="1" applyAlignment="1">
      <alignment horizontal="left"/>
    </xf>
    <xf numFmtId="164" fontId="5" fillId="2" borderId="0" xfId="0" applyNumberFormat="1" applyFont="1" applyFill="1" applyAlignment="1">
      <alignment horizontal="center"/>
    </xf>
    <xf numFmtId="8" fontId="6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8" fontId="6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/>
    <xf numFmtId="0" fontId="6" fillId="4" borderId="0" xfId="0" applyFont="1" applyFill="1" applyAlignment="1">
      <alignment horizontal="center"/>
    </xf>
    <xf numFmtId="8" fontId="5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165" fontId="10" fillId="4" borderId="0" xfId="0" applyNumberFormat="1" applyFont="1" applyFill="1" applyAlignment="1" applyProtection="1">
      <alignment horizontal="center" vertical="center"/>
      <protection locked="0"/>
    </xf>
    <xf numFmtId="164" fontId="13" fillId="2" borderId="0" xfId="0" applyNumberFormat="1" applyFont="1" applyFill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44" fontId="13" fillId="2" borderId="2" xfId="1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4" fontId="13" fillId="2" borderId="1" xfId="1" applyFont="1" applyFill="1" applyBorder="1" applyAlignment="1" applyProtection="1">
      <alignment horizontal="center" vertical="center"/>
      <protection locked="0"/>
    </xf>
    <xf numFmtId="44" fontId="13" fillId="2" borderId="0" xfId="1" applyFont="1" applyFill="1" applyBorder="1" applyAlignment="1" applyProtection="1">
      <alignment horizontal="center" vertical="center"/>
    </xf>
    <xf numFmtId="0" fontId="13" fillId="2" borderId="2" xfId="0" applyFont="1" applyFill="1" applyBorder="1" applyProtection="1">
      <protection locked="0"/>
    </xf>
    <xf numFmtId="0" fontId="13" fillId="2" borderId="0" xfId="0" applyFont="1" applyFill="1"/>
    <xf numFmtId="164" fontId="13" fillId="2" borderId="2" xfId="1" applyNumberFormat="1" applyFont="1" applyFill="1" applyBorder="1" applyAlignment="1" applyProtection="1">
      <alignment horizontal="right" vertical="center"/>
    </xf>
    <xf numFmtId="0" fontId="13" fillId="2" borderId="0" xfId="0" applyFont="1" applyFill="1" applyProtection="1">
      <protection locked="0"/>
    </xf>
    <xf numFmtId="44" fontId="13" fillId="0" borderId="0" xfId="1" applyFont="1" applyFill="1" applyBorder="1" applyAlignment="1" applyProtection="1">
      <alignment horizontal="center" vertical="center"/>
      <protection locked="0"/>
    </xf>
    <xf numFmtId="44" fontId="11" fillId="4" borderId="0" xfId="1" applyFont="1" applyFill="1" applyBorder="1" applyAlignment="1" applyProtection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>
      <alignment horizontal="center" vertical="center"/>
    </xf>
    <xf numFmtId="8" fontId="8" fillId="2" borderId="0" xfId="0" applyNumberFormat="1" applyFont="1" applyFill="1" applyAlignment="1">
      <alignment horizontal="center" vertical="top"/>
    </xf>
    <xf numFmtId="0" fontId="14" fillId="4" borderId="0" xfId="0" applyFont="1" applyFill="1" applyAlignment="1">
      <alignment horizontal="center" vertical="center"/>
    </xf>
    <xf numFmtId="0" fontId="15" fillId="2" borderId="2" xfId="0" applyFont="1" applyFill="1" applyBorder="1" applyAlignment="1" applyProtection="1">
      <alignment horizontal="center"/>
      <protection locked="0"/>
    </xf>
    <xf numFmtId="0" fontId="13" fillId="2" borderId="1" xfId="0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3" fillId="2" borderId="2" xfId="0" applyFont="1" applyFill="1" applyBorder="1" applyAlignment="1" applyProtection="1">
      <alignment horizontal="left" vertical="center"/>
      <protection locked="0"/>
    </xf>
    <xf numFmtId="0" fontId="9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64" fontId="11" fillId="2" borderId="6" xfId="0" applyNumberFormat="1" applyFont="1" applyFill="1" applyBorder="1" applyAlignment="1" applyProtection="1">
      <alignment horizontal="center" vertical="center"/>
      <protection locked="0"/>
    </xf>
    <xf numFmtId="164" fontId="11" fillId="2" borderId="1" xfId="0" applyNumberFormat="1" applyFont="1" applyFill="1" applyBorder="1" applyAlignment="1" applyProtection="1">
      <alignment horizontal="center" vertical="center"/>
      <protection locked="0"/>
    </xf>
    <xf numFmtId="164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8" fontId="6" fillId="3" borderId="0" xfId="0" applyNumberFormat="1" applyFont="1" applyFill="1" applyAlignment="1">
      <alignment horizontal="center" vertical="center"/>
    </xf>
    <xf numFmtId="0" fontId="6" fillId="2" borderId="0" xfId="0" applyFont="1" applyFill="1" applyAlignment="1" applyProtection="1">
      <alignment horizontal="right" vertical="center"/>
      <protection locked="0"/>
    </xf>
    <xf numFmtId="164" fontId="12" fillId="4" borderId="0" xfId="0" applyNumberFormat="1" applyFont="1" applyFill="1" applyAlignment="1">
      <alignment horizontal="center" vertical="center"/>
    </xf>
    <xf numFmtId="164" fontId="13" fillId="2" borderId="2" xfId="0" applyNumberFormat="1" applyFont="1" applyFill="1" applyBorder="1" applyAlignment="1" applyProtection="1">
      <alignment horizontal="center" vertical="center"/>
      <protection locked="0"/>
    </xf>
    <xf numFmtId="164" fontId="13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/>
    </xf>
    <xf numFmtId="17" fontId="13" fillId="2" borderId="5" xfId="0" applyNumberFormat="1" applyFont="1" applyFill="1" applyBorder="1" applyAlignment="1" applyProtection="1">
      <alignment horizontal="center" vertical="center"/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164" fontId="6" fillId="2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E6EBF6"/>
      <color rgb="FF2F7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5"/>
  <sheetViews>
    <sheetView zoomScale="75" zoomScaleNormal="85" workbookViewId="0">
      <selection activeCell="C73" sqref="C73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 t="s">
        <v>41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>
        <v>19243.8</v>
      </c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9134.2000000000007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>
        <f>9250-115.8</f>
        <v>9134.2000000000007</v>
      </c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8911.6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>
        <f>3087.2+349+479.4+1799</f>
        <v>5714.6</v>
      </c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>
        <f>699+899+1599</f>
        <v>3197</v>
      </c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399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>
        <v>399</v>
      </c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799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>
        <v>799</v>
      </c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10109.6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19243.800000000003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 t="s">
        <v>42</v>
      </c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 t="s">
        <v>43</v>
      </c>
      <c r="D72" s="31"/>
      <c r="E72" s="36"/>
      <c r="F72" s="37"/>
      <c r="G72" s="38">
        <f>C5-G58-G59-G60-G61-G62-G63-G64-G66-G65-G67-G68</f>
        <v>19243.8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19243.8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E48:G48"/>
    <mergeCell ref="E49:G49"/>
    <mergeCell ref="B48:D48"/>
    <mergeCell ref="B49:D49"/>
    <mergeCell ref="E40:G40"/>
    <mergeCell ref="E41:G41"/>
    <mergeCell ref="E42:G42"/>
    <mergeCell ref="E43:G43"/>
    <mergeCell ref="E44:G44"/>
    <mergeCell ref="C47:G47"/>
    <mergeCell ref="E46:G46"/>
    <mergeCell ref="B46:C46"/>
    <mergeCell ref="B51:G51"/>
    <mergeCell ref="B55:G55"/>
    <mergeCell ref="C52:D52"/>
    <mergeCell ref="F52:G52"/>
    <mergeCell ref="C53:D53"/>
    <mergeCell ref="F53:G53"/>
    <mergeCell ref="E26:G26"/>
    <mergeCell ref="E34:G34"/>
    <mergeCell ref="E35:G35"/>
    <mergeCell ref="E36:G36"/>
    <mergeCell ref="E38:G38"/>
    <mergeCell ref="E37:G37"/>
    <mergeCell ref="E28:G28"/>
    <mergeCell ref="E29:G29"/>
    <mergeCell ref="E30:G30"/>
    <mergeCell ref="E31:G31"/>
    <mergeCell ref="E32:G32"/>
    <mergeCell ref="E21:G21"/>
    <mergeCell ref="E22:G22"/>
    <mergeCell ref="E23:G23"/>
    <mergeCell ref="E24:G24"/>
    <mergeCell ref="E25:G25"/>
    <mergeCell ref="B1:G1"/>
    <mergeCell ref="C5:G5"/>
    <mergeCell ref="B7:G7"/>
    <mergeCell ref="B19:G19"/>
    <mergeCell ref="C3:F3"/>
    <mergeCell ref="E9:G9"/>
    <mergeCell ref="E10:G10"/>
    <mergeCell ref="E12:G12"/>
    <mergeCell ref="B14:G14"/>
    <mergeCell ref="E16:G16"/>
    <mergeCell ref="E17:G17"/>
    <mergeCell ref="E11:G11"/>
    <mergeCell ref="D83:G83"/>
    <mergeCell ref="B70:B74"/>
    <mergeCell ref="B58:B69"/>
    <mergeCell ref="B82:C82"/>
    <mergeCell ref="D82:G82"/>
    <mergeCell ref="B81:G81"/>
    <mergeCell ref="B80:G80"/>
    <mergeCell ref="C77:G77"/>
    <mergeCell ref="B79:G79"/>
    <mergeCell ref="B78:G78"/>
    <mergeCell ref="E76:F76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C142-B1F0-4994-95D1-384FAEF8B2EB}">
  <sheetPr>
    <pageSetUpPr fitToPage="1"/>
  </sheetPr>
  <dimension ref="A1:I205"/>
  <sheetViews>
    <sheetView zoomScale="75" zoomScaleNormal="85" workbookViewId="0">
      <selection activeCell="G3" sqref="G3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7678-1951-49F2-B123-997CA3D48238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278F-0A2E-46F8-8E1A-F889E6538BC4}">
  <sheetPr>
    <pageSetUpPr fitToPage="1"/>
  </sheetPr>
  <dimension ref="A1:I205"/>
  <sheetViews>
    <sheetView tabSelected="1" zoomScale="75" zoomScaleNormal="85" workbookViewId="0">
      <selection activeCell="G3" sqref="G3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46269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>
        <v>27983.4</v>
      </c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4877.3999999999996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>
        <v>4877.3999999999996</v>
      </c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11753.199999999999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>
        <v>6536.4</v>
      </c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>
        <v>4437.3999999999996</v>
      </c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>
        <v>779.4</v>
      </c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2497.4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>
        <v>2497.4</v>
      </c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3199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>
        <v>3199</v>
      </c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5656.4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>
        <v>1798</v>
      </c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>
        <v>3858.4</v>
      </c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23106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27983.4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 t="s">
        <v>44</v>
      </c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 t="s">
        <v>44</v>
      </c>
      <c r="D72" s="31"/>
      <c r="E72" s="36"/>
      <c r="F72" s="37"/>
      <c r="G72" s="38">
        <f>C5-G58-G59-G60-G61-G62-G63-G64-G66-G65-G67-G68</f>
        <v>27983.4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27983.4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 t="s">
        <v>45</v>
      </c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0A27-80A2-41AA-9A36-306EB044689C}">
  <sheetPr>
    <pageSetUpPr fitToPage="1"/>
  </sheetPr>
  <dimension ref="A1:I205"/>
  <sheetViews>
    <sheetView zoomScale="75" zoomScaleNormal="85" workbookViewId="0">
      <selection activeCell="C77" sqref="C77:G77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45813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>
        <v>33422.699999999997</v>
      </c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8001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>
        <v>8001</v>
      </c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13138.5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>
        <v>1399</v>
      </c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>
        <v>7793</v>
      </c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>
        <v>3946.5</v>
      </c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8822.7999999999993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>
        <v>3246</v>
      </c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>
        <v>5576.8</v>
      </c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2786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>
        <v>2786</v>
      </c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674.5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>
        <v>674.5</v>
      </c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25421.8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33422.800000000003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-0.10000000000582077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 t="s">
        <v>32</v>
      </c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 t="s">
        <v>32</v>
      </c>
      <c r="D72" s="31"/>
      <c r="E72" s="36" t="s">
        <v>33</v>
      </c>
      <c r="F72" s="37"/>
      <c r="G72" s="38">
        <f>C5-G58-G59-G60-G61-G62-G63-G64-G66-G65-G67-G68</f>
        <v>33422.699999999997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33422.699999999997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2889-41D9-450E-B286-CDA61035DCCE}">
  <sheetPr>
    <pageSetUpPr fitToPage="1"/>
  </sheetPr>
  <dimension ref="A1:I205"/>
  <sheetViews>
    <sheetView zoomScale="75" zoomScaleNormal="85" workbookViewId="0">
      <selection activeCell="N61" sqref="N61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45814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>
        <v>48457.8</v>
      </c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9387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>
        <v>9387</v>
      </c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1499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>
        <v>1499</v>
      </c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20792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>
        <v>9195</v>
      </c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>
        <v>11597</v>
      </c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11223.4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>
        <v>5606</v>
      </c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>
        <v>5617.4</v>
      </c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5556.7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>
        <v>2498</v>
      </c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>
        <v>3058.7</v>
      </c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39071.1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48458.1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-0.29999999999563443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 t="s">
        <v>34</v>
      </c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 t="s">
        <v>34</v>
      </c>
      <c r="D72" s="31"/>
      <c r="E72" s="36" t="s">
        <v>35</v>
      </c>
      <c r="F72" s="37"/>
      <c r="G72" s="38">
        <f>C5-G58-G59-G60-G61-G62-G63-G64-G66-G65-G67-G68</f>
        <v>48457.8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48457.8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91F9-504C-4F27-A453-0218A623D0A3}">
  <sheetPr>
    <pageSetUpPr fitToPage="1"/>
  </sheetPr>
  <dimension ref="A1:I205"/>
  <sheetViews>
    <sheetView zoomScale="75" zoomScaleNormal="85" workbookViewId="0">
      <selection activeCell="C72" sqref="C72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45815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>
        <v>79796.899999999994</v>
      </c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15186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>
        <f>10000+5186</f>
        <v>15186</v>
      </c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499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>
        <v>499</v>
      </c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27828.7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>
        <v>11630.2</v>
      </c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>
        <v>16198.5</v>
      </c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34685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>
        <v>15308.3</v>
      </c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>
        <v>19376.7</v>
      </c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1599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>
        <v>1599</v>
      </c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64611.7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79797.7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-0.80000000000291038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 t="s">
        <v>36</v>
      </c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>
        <v>8043</v>
      </c>
      <c r="D58" s="31"/>
      <c r="E58" s="30" t="s">
        <v>38</v>
      </c>
      <c r="F58" s="31"/>
      <c r="G58" s="32">
        <v>-599</v>
      </c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 t="s">
        <v>37</v>
      </c>
      <c r="F72" s="37"/>
      <c r="G72" s="38">
        <f>C5-G58-G59-G60-G61-G62-G63-G64-G66-G65-G67-G68</f>
        <v>80395.899999999994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79796.899999999994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D522-9CA9-462F-8E4E-E29F5968EBEF}">
  <sheetPr>
    <pageSetUpPr fitToPage="1"/>
  </sheetPr>
  <dimension ref="A1:I205"/>
  <sheetViews>
    <sheetView zoomScale="75" zoomScaleNormal="85" workbookViewId="0">
      <selection activeCell="P31" sqref="P31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45816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>
        <v>70537.2</v>
      </c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14900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>
        <f>10000+4900</f>
        <v>14900</v>
      </c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549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>
        <v>549</v>
      </c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25984.300000000003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>
        <v>15713.4</v>
      </c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>
        <v>8062</v>
      </c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>
        <v>2208.9</v>
      </c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20094.900000000001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>
        <v>6462.4</v>
      </c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>
        <v>10133.5</v>
      </c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>
        <v>3499</v>
      </c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8431.7000000000007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>
        <v>1658.4</v>
      </c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>
        <v>6773.3</v>
      </c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55059.900000000009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69959.900000000009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577.29999999998836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 t="s">
        <v>39</v>
      </c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 t="s">
        <v>40</v>
      </c>
      <c r="F72" s="37"/>
      <c r="G72" s="38">
        <f>C5-G58-G59-G60-G61-G62-G63-G64-G66-G65-G67-G68</f>
        <v>70537.2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70537.2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AEA8-347F-4E43-A36A-F34F34A62A83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E3E6-9937-47B8-9853-D424F33DDC1D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E6DD-2455-42AC-AC05-19694D22FB29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21C3F-8923-4F46-BF13-0D3563200B64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482F-7037-42AE-8401-F1B7E99D4337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9354-D7A1-4391-ABC4-D52D86B1EABD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CE81-67A2-4271-9BAE-52EF3F8E5160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CC55-EF12-4AA5-A63C-FBB35B341F49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2C52-DA44-4BA3-BA8A-94519F62DB05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AB08-E12C-4504-A356-28212C13DD2F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E1B1-4A4B-4FBB-B1A9-E8B4DE6B58D2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4E84-CB04-4928-8198-8BCE376BD204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E9BD-812C-4A6C-AEF5-76FEB6CFD452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85F5-2BCB-4DC4-BE3D-C4212375765D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EE1A-A987-46AF-ABDE-8F35263025FA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71B3-A452-490C-889B-16A72B48FAAC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BD32-A3CE-4522-92C0-967676BC2459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CA70-BFB2-4EF4-82E9-49DB93A5CAAB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DCD2-668C-440E-B2D7-19F1002D1714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707A-5E9A-457E-AED3-B4421C6F4A4C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18EE-BA9C-4E23-9ACD-F9DE9061A90A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A866-3802-40B5-B532-FFDF71090A41}">
  <sheetPr>
    <pageSetUpPr fitToPage="1"/>
  </sheetPr>
  <dimension ref="A1:I205"/>
  <sheetViews>
    <sheetView zoomScale="75" zoomScaleNormal="85" workbookViewId="0">
      <selection activeCell="K64" sqref="K64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0E5E-ACF5-4DCA-8E6B-335DA64BC1E5}">
  <sheetPr>
    <pageSetUpPr fitToPage="1"/>
  </sheetPr>
  <dimension ref="A1:I205"/>
  <sheetViews>
    <sheetView zoomScale="75" zoomScaleNormal="85" workbookViewId="0">
      <selection activeCell="K20" sqref="K20"/>
    </sheetView>
  </sheetViews>
  <sheetFormatPr baseColWidth="10" defaultColWidth="11.44140625" defaultRowHeight="13.2" x14ac:dyDescent="0.25"/>
  <cols>
    <col min="1" max="1" width="11.44140625" style="1"/>
    <col min="2" max="2" width="25.33203125" style="1" customWidth="1"/>
    <col min="3" max="3" width="20.5546875" style="1" customWidth="1"/>
    <col min="4" max="4" width="3.44140625" style="1" customWidth="1"/>
    <col min="5" max="5" width="18.5546875" style="1" customWidth="1"/>
    <col min="6" max="6" width="4" style="1" customWidth="1"/>
    <col min="7" max="7" width="23.44140625" style="1" customWidth="1"/>
    <col min="8" max="16384" width="11.44140625" style="1"/>
  </cols>
  <sheetData>
    <row r="1" spans="1:7" ht="41.25" customHeight="1" x14ac:dyDescent="0.25">
      <c r="B1" s="52" t="s">
        <v>31</v>
      </c>
      <c r="C1" s="53"/>
      <c r="D1" s="53"/>
      <c r="E1" s="53"/>
      <c r="F1" s="53"/>
      <c r="G1" s="54"/>
    </row>
    <row r="2" spans="1:7" s="3" customFormat="1" ht="4.6500000000000004" customHeight="1" x14ac:dyDescent="0.25"/>
    <row r="3" spans="1:7" s="3" customFormat="1" ht="15" customHeight="1" x14ac:dyDescent="0.25">
      <c r="B3" s="4"/>
      <c r="C3" s="61" t="s">
        <v>18</v>
      </c>
      <c r="D3" s="61"/>
      <c r="E3" s="61"/>
      <c r="F3" s="61"/>
      <c r="G3" s="25">
        <v>45809</v>
      </c>
    </row>
    <row r="4" spans="1:7" s="3" customFormat="1" ht="6.75" customHeight="1" x14ac:dyDescent="0.25">
      <c r="B4" s="5"/>
      <c r="C4" s="5"/>
      <c r="D4" s="5"/>
      <c r="E4" s="5"/>
      <c r="F4" s="5"/>
      <c r="G4" s="5"/>
    </row>
    <row r="5" spans="1:7" s="6" customFormat="1" ht="19.5" customHeight="1" x14ac:dyDescent="0.25">
      <c r="B5" s="7" t="s">
        <v>6</v>
      </c>
      <c r="C5" s="55"/>
      <c r="D5" s="56"/>
      <c r="E5" s="56"/>
      <c r="F5" s="56"/>
      <c r="G5" s="57"/>
    </row>
    <row r="6" spans="1:7" s="3" customFormat="1" ht="7.5" customHeight="1" x14ac:dyDescent="0.25">
      <c r="B6" s="8"/>
      <c r="C6" s="9"/>
      <c r="D6" s="9"/>
      <c r="E6" s="9"/>
      <c r="F6" s="9"/>
      <c r="G6" s="9"/>
    </row>
    <row r="7" spans="1:7" s="3" customFormat="1" ht="15.75" customHeight="1" x14ac:dyDescent="0.25">
      <c r="B7" s="58" t="s">
        <v>17</v>
      </c>
      <c r="C7" s="59"/>
      <c r="D7" s="59"/>
      <c r="E7" s="59"/>
      <c r="F7" s="59"/>
      <c r="G7" s="59"/>
    </row>
    <row r="8" spans="1:7" s="3" customFormat="1" ht="9" customHeight="1" x14ac:dyDescent="0.25">
      <c r="B8" s="10"/>
      <c r="C8" s="11"/>
      <c r="D8" s="11"/>
      <c r="E8" s="12"/>
      <c r="F8" s="12"/>
      <c r="G8" s="12"/>
    </row>
    <row r="9" spans="1:7" s="3" customFormat="1" ht="17.399999999999999" customHeight="1" x14ac:dyDescent="0.25">
      <c r="B9" s="12"/>
      <c r="C9" s="12"/>
      <c r="D9" s="12"/>
      <c r="E9" s="62">
        <f>SUM(E10:G12)</f>
        <v>0</v>
      </c>
      <c r="F9" s="62"/>
      <c r="G9" s="62"/>
    </row>
    <row r="10" spans="1:7" s="3" customFormat="1" ht="15.75" customHeight="1" x14ac:dyDescent="0.25">
      <c r="B10" s="13"/>
      <c r="C10" s="14" t="s">
        <v>30</v>
      </c>
      <c r="D10" s="14"/>
      <c r="E10" s="63"/>
      <c r="F10" s="63"/>
      <c r="G10" s="63"/>
    </row>
    <row r="11" spans="1:7" s="3" customFormat="1" ht="15.75" customHeight="1" x14ac:dyDescent="0.25">
      <c r="B11" s="13"/>
      <c r="C11" s="14" t="s">
        <v>26</v>
      </c>
      <c r="D11" s="14"/>
      <c r="E11" s="64"/>
      <c r="F11" s="64"/>
      <c r="G11" s="64"/>
    </row>
    <row r="12" spans="1:7" s="3" customFormat="1" ht="16.5" customHeight="1" x14ac:dyDescent="0.25">
      <c r="B12" s="13"/>
      <c r="C12" s="14" t="s">
        <v>5</v>
      </c>
      <c r="D12" s="14"/>
      <c r="E12" s="64"/>
      <c r="F12" s="64"/>
      <c r="G12" s="64"/>
    </row>
    <row r="13" spans="1:7" s="3" customFormat="1" ht="6.75" customHeight="1" x14ac:dyDescent="0.25">
      <c r="A13" s="5"/>
      <c r="B13" s="15"/>
      <c r="C13" s="14"/>
      <c r="D13" s="14"/>
      <c r="E13" s="16"/>
      <c r="F13" s="16"/>
      <c r="G13" s="16"/>
    </row>
    <row r="14" spans="1:7" s="3" customFormat="1" ht="16.5" customHeight="1" x14ac:dyDescent="0.25">
      <c r="A14" s="5"/>
      <c r="B14" s="58" t="s">
        <v>25</v>
      </c>
      <c r="C14" s="59"/>
      <c r="D14" s="59"/>
      <c r="E14" s="59"/>
      <c r="F14" s="59"/>
      <c r="G14" s="59"/>
    </row>
    <row r="15" spans="1:7" s="3" customFormat="1" ht="6.75" customHeight="1" x14ac:dyDescent="0.25">
      <c r="A15" s="5"/>
      <c r="B15" s="15"/>
      <c r="C15" s="14"/>
      <c r="D15" s="14"/>
      <c r="E15" s="16"/>
      <c r="F15" s="16"/>
      <c r="G15" s="16"/>
    </row>
    <row r="16" spans="1:7" s="3" customFormat="1" ht="16.5" customHeight="1" x14ac:dyDescent="0.25">
      <c r="B16" s="13"/>
      <c r="C16" s="14"/>
      <c r="D16" s="14"/>
      <c r="E16" s="62">
        <f>E17</f>
        <v>0</v>
      </c>
      <c r="F16" s="62"/>
      <c r="G16" s="62"/>
    </row>
    <row r="17" spans="2:7" s="3" customFormat="1" ht="16.5" customHeight="1" x14ac:dyDescent="0.25">
      <c r="B17" s="13"/>
      <c r="C17" s="14" t="s">
        <v>30</v>
      </c>
      <c r="D17" s="14"/>
      <c r="E17" s="63"/>
      <c r="F17" s="63"/>
      <c r="G17" s="63"/>
    </row>
    <row r="18" spans="2:7" s="3" customFormat="1" ht="6.75" customHeight="1" x14ac:dyDescent="0.25">
      <c r="B18" s="10"/>
      <c r="C18" s="12"/>
      <c r="D18" s="12"/>
      <c r="E18" s="12"/>
      <c r="F18" s="12"/>
      <c r="G18" s="12"/>
    </row>
    <row r="19" spans="2:7" s="3" customFormat="1" ht="14.25" customHeight="1" x14ac:dyDescent="0.25">
      <c r="B19" s="60" t="s">
        <v>19</v>
      </c>
      <c r="C19" s="60"/>
      <c r="D19" s="60"/>
      <c r="E19" s="60"/>
      <c r="F19" s="60"/>
      <c r="G19" s="60"/>
    </row>
    <row r="20" spans="2:7" s="3" customFormat="1" ht="9" customHeight="1" x14ac:dyDescent="0.25">
      <c r="B20" s="10"/>
      <c r="C20" s="11"/>
      <c r="D20" s="11"/>
      <c r="E20" s="12"/>
      <c r="F20" s="12"/>
      <c r="G20" s="12"/>
    </row>
    <row r="21" spans="2:7" s="3" customFormat="1" ht="16.5" customHeight="1" x14ac:dyDescent="0.25">
      <c r="B21" s="17" t="s">
        <v>5</v>
      </c>
      <c r="C21" s="16"/>
      <c r="D21" s="16"/>
      <c r="E21" s="62">
        <f>SUM(E22:G26)</f>
        <v>0</v>
      </c>
      <c r="F21" s="62"/>
      <c r="G21" s="62"/>
    </row>
    <row r="22" spans="2:7" s="3" customFormat="1" ht="16.5" customHeight="1" x14ac:dyDescent="0.25">
      <c r="B22" s="15"/>
      <c r="C22" s="18" t="s">
        <v>11</v>
      </c>
      <c r="D22" s="18"/>
      <c r="E22" s="63"/>
      <c r="F22" s="63"/>
      <c r="G22" s="63"/>
    </row>
    <row r="23" spans="2:7" s="3" customFormat="1" ht="16.5" customHeight="1" x14ac:dyDescent="0.25">
      <c r="B23" s="15"/>
      <c r="C23" s="18" t="s">
        <v>12</v>
      </c>
      <c r="D23" s="18"/>
      <c r="E23" s="64"/>
      <c r="F23" s="64"/>
      <c r="G23" s="64"/>
    </row>
    <row r="24" spans="2:7" s="3" customFormat="1" ht="16.5" customHeight="1" x14ac:dyDescent="0.25">
      <c r="B24" s="15"/>
      <c r="C24" s="18" t="s">
        <v>13</v>
      </c>
      <c r="D24" s="18"/>
      <c r="E24" s="64"/>
      <c r="F24" s="64"/>
      <c r="G24" s="64"/>
    </row>
    <row r="25" spans="2:7" s="3" customFormat="1" ht="16.5" customHeight="1" x14ac:dyDescent="0.25">
      <c r="B25" s="15"/>
      <c r="C25" s="18" t="s">
        <v>16</v>
      </c>
      <c r="D25" s="18"/>
      <c r="E25" s="64"/>
      <c r="F25" s="64"/>
      <c r="G25" s="64"/>
    </row>
    <row r="26" spans="2:7" s="3" customFormat="1" ht="16.5" customHeight="1" x14ac:dyDescent="0.25">
      <c r="B26" s="15"/>
      <c r="C26" s="18" t="s">
        <v>14</v>
      </c>
      <c r="D26" s="18"/>
      <c r="E26" s="64"/>
      <c r="F26" s="64"/>
      <c r="G26" s="64"/>
    </row>
    <row r="27" spans="2:7" s="3" customFormat="1" ht="16.5" customHeight="1" x14ac:dyDescent="0.25">
      <c r="B27" s="10"/>
      <c r="C27" s="11"/>
      <c r="D27" s="11"/>
      <c r="E27" s="26"/>
      <c r="F27" s="26"/>
      <c r="G27" s="26"/>
    </row>
    <row r="28" spans="2:7" s="3" customFormat="1" ht="16.5" customHeight="1" x14ac:dyDescent="0.25">
      <c r="B28" s="17" t="s">
        <v>29</v>
      </c>
      <c r="C28" s="16"/>
      <c r="D28" s="16"/>
      <c r="E28" s="62">
        <f>SUM(E29:G32)</f>
        <v>0</v>
      </c>
      <c r="F28" s="62"/>
      <c r="G28" s="62"/>
    </row>
    <row r="29" spans="2:7" s="3" customFormat="1" ht="16.5" customHeight="1" x14ac:dyDescent="0.25">
      <c r="B29" s="15"/>
      <c r="C29" s="18" t="s">
        <v>11</v>
      </c>
      <c r="D29" s="18"/>
      <c r="E29" s="63"/>
      <c r="F29" s="63"/>
      <c r="G29" s="63"/>
    </row>
    <row r="30" spans="2:7" s="3" customFormat="1" ht="16.5" customHeight="1" x14ac:dyDescent="0.25">
      <c r="B30" s="15"/>
      <c r="C30" s="18" t="s">
        <v>12</v>
      </c>
      <c r="D30" s="18"/>
      <c r="E30" s="64"/>
      <c r="F30" s="64"/>
      <c r="G30" s="64"/>
    </row>
    <row r="31" spans="2:7" s="3" customFormat="1" ht="16.5" customHeight="1" x14ac:dyDescent="0.25">
      <c r="B31" s="15"/>
      <c r="C31" s="18" t="s">
        <v>13</v>
      </c>
      <c r="D31" s="18"/>
      <c r="E31" s="64"/>
      <c r="F31" s="64"/>
      <c r="G31" s="64"/>
    </row>
    <row r="32" spans="2:7" s="3" customFormat="1" ht="16.5" customHeight="1" x14ac:dyDescent="0.25">
      <c r="B32" s="15"/>
      <c r="C32" s="18" t="s">
        <v>14</v>
      </c>
      <c r="D32" s="18"/>
      <c r="E32" s="64"/>
      <c r="F32" s="64"/>
      <c r="G32" s="64"/>
    </row>
    <row r="33" spans="2:7" s="3" customFormat="1" ht="16.5" customHeight="1" x14ac:dyDescent="0.25">
      <c r="B33" s="15"/>
      <c r="C33" s="18"/>
      <c r="D33" s="18"/>
      <c r="E33" s="27"/>
      <c r="F33" s="27"/>
      <c r="G33" s="27"/>
    </row>
    <row r="34" spans="2:7" s="3" customFormat="1" ht="16.5" customHeight="1" x14ac:dyDescent="0.25">
      <c r="B34" s="17" t="s">
        <v>30</v>
      </c>
      <c r="C34" s="16"/>
      <c r="D34" s="16"/>
      <c r="E34" s="62">
        <f>SUM(E35:G38)</f>
        <v>0</v>
      </c>
      <c r="F34" s="62"/>
      <c r="G34" s="62"/>
    </row>
    <row r="35" spans="2:7" s="3" customFormat="1" ht="16.5" customHeight="1" x14ac:dyDescent="0.25">
      <c r="B35" s="15"/>
      <c r="C35" s="18" t="s">
        <v>15</v>
      </c>
      <c r="D35" s="18"/>
      <c r="E35" s="63"/>
      <c r="F35" s="63"/>
      <c r="G35" s="63"/>
    </row>
    <row r="36" spans="2:7" s="3" customFormat="1" ht="16.5" customHeight="1" x14ac:dyDescent="0.25">
      <c r="B36" s="15"/>
      <c r="C36" s="18" t="s">
        <v>12</v>
      </c>
      <c r="D36" s="18"/>
      <c r="E36" s="63"/>
      <c r="F36" s="63"/>
      <c r="G36" s="63"/>
    </row>
    <row r="37" spans="2:7" s="3" customFormat="1" ht="16.5" customHeight="1" x14ac:dyDescent="0.25">
      <c r="B37" s="15"/>
      <c r="C37" s="18" t="s">
        <v>13</v>
      </c>
      <c r="D37" s="18"/>
      <c r="E37" s="64"/>
      <c r="F37" s="64"/>
      <c r="G37" s="64"/>
    </row>
    <row r="38" spans="2:7" s="3" customFormat="1" ht="16.5" customHeight="1" x14ac:dyDescent="0.25">
      <c r="B38" s="15"/>
      <c r="C38" s="18" t="s">
        <v>16</v>
      </c>
      <c r="D38" s="18"/>
      <c r="E38" s="63"/>
      <c r="F38" s="63"/>
      <c r="G38" s="63"/>
    </row>
    <row r="39" spans="2:7" s="3" customFormat="1" ht="16.5" customHeight="1" x14ac:dyDescent="0.25">
      <c r="B39" s="15"/>
      <c r="C39" s="18"/>
      <c r="D39" s="18"/>
      <c r="E39" s="27"/>
      <c r="F39" s="27"/>
      <c r="G39" s="27"/>
    </row>
    <row r="40" spans="2:7" s="3" customFormat="1" ht="16.5" customHeight="1" x14ac:dyDescent="0.25">
      <c r="B40" s="17" t="s">
        <v>26</v>
      </c>
      <c r="C40" s="16"/>
      <c r="D40" s="16"/>
      <c r="E40" s="62">
        <f>SUM(E41:G44)</f>
        <v>0</v>
      </c>
      <c r="F40" s="62"/>
      <c r="G40" s="62"/>
    </row>
    <row r="41" spans="2:7" s="3" customFormat="1" ht="16.5" customHeight="1" x14ac:dyDescent="0.25">
      <c r="B41" s="15"/>
      <c r="C41" s="18" t="s">
        <v>15</v>
      </c>
      <c r="D41" s="18"/>
      <c r="E41" s="63"/>
      <c r="F41" s="63"/>
      <c r="G41" s="63"/>
    </row>
    <row r="42" spans="2:7" s="3" customFormat="1" ht="16.5" customHeight="1" x14ac:dyDescent="0.25">
      <c r="B42" s="15"/>
      <c r="C42" s="18" t="s">
        <v>12</v>
      </c>
      <c r="D42" s="18"/>
      <c r="E42" s="63"/>
      <c r="F42" s="63"/>
      <c r="G42" s="63"/>
    </row>
    <row r="43" spans="2:7" s="3" customFormat="1" ht="16.5" customHeight="1" x14ac:dyDescent="0.25">
      <c r="B43" s="15"/>
      <c r="C43" s="18" t="s">
        <v>13</v>
      </c>
      <c r="D43" s="18"/>
      <c r="E43" s="64"/>
      <c r="F43" s="64"/>
      <c r="G43" s="64"/>
    </row>
    <row r="44" spans="2:7" s="3" customFormat="1" ht="16.5" customHeight="1" x14ac:dyDescent="0.25">
      <c r="B44" s="15"/>
      <c r="C44" s="18" t="s">
        <v>16</v>
      </c>
      <c r="D44" s="18"/>
      <c r="E44" s="63"/>
      <c r="F44" s="63"/>
      <c r="G44" s="63"/>
    </row>
    <row r="45" spans="2:7" s="3" customFormat="1" ht="6" customHeight="1" x14ac:dyDescent="0.25">
      <c r="B45" s="15"/>
      <c r="C45" s="18"/>
      <c r="D45" s="18"/>
      <c r="E45" s="19"/>
      <c r="F45" s="19"/>
      <c r="G45" s="19"/>
    </row>
    <row r="46" spans="2:7" s="3" customFormat="1" ht="17.399999999999999" customHeight="1" x14ac:dyDescent="0.25">
      <c r="B46" s="75" t="s">
        <v>4</v>
      </c>
      <c r="C46" s="75"/>
      <c r="D46" s="16"/>
      <c r="E46" s="62">
        <f>E21+E28+E34+E40</f>
        <v>0</v>
      </c>
      <c r="F46" s="62"/>
      <c r="G46" s="62"/>
    </row>
    <row r="47" spans="2:7" s="3" customFormat="1" ht="6.75" customHeight="1" x14ac:dyDescent="0.25">
      <c r="B47" s="20"/>
      <c r="C47" s="74"/>
      <c r="D47" s="74"/>
      <c r="E47" s="74"/>
      <c r="F47" s="74"/>
      <c r="G47" s="74"/>
    </row>
    <row r="48" spans="2:7" s="3" customFormat="1" ht="17.399999999999999" customHeight="1" x14ac:dyDescent="0.25">
      <c r="B48" s="72" t="s">
        <v>24</v>
      </c>
      <c r="C48" s="72"/>
      <c r="D48" s="73"/>
      <c r="E48" s="68">
        <f>E9+E16+E46</f>
        <v>0</v>
      </c>
      <c r="F48" s="68"/>
      <c r="G48" s="69"/>
    </row>
    <row r="49" spans="1:9" s="3" customFormat="1" ht="17.399999999999999" customHeight="1" x14ac:dyDescent="0.25">
      <c r="B49" s="72" t="s">
        <v>7</v>
      </c>
      <c r="C49" s="72"/>
      <c r="D49" s="73"/>
      <c r="E49" s="70">
        <f>C5-E48</f>
        <v>0</v>
      </c>
      <c r="F49" s="70"/>
      <c r="G49" s="71"/>
    </row>
    <row r="50" spans="1:9" s="3" customFormat="1" ht="7.5" customHeight="1" x14ac:dyDescent="0.25">
      <c r="B50" s="20"/>
    </row>
    <row r="51" spans="1:9" s="3" customFormat="1" ht="16.5" customHeight="1" x14ac:dyDescent="0.25">
      <c r="B51" s="58" t="s">
        <v>21</v>
      </c>
      <c r="C51" s="58"/>
      <c r="D51" s="58"/>
      <c r="E51" s="58"/>
      <c r="F51" s="58"/>
      <c r="G51" s="58"/>
    </row>
    <row r="52" spans="1:9" s="3" customFormat="1" ht="14.4" x14ac:dyDescent="0.25">
      <c r="A52" s="5"/>
      <c r="B52" s="20"/>
      <c r="C52" s="65" t="s">
        <v>27</v>
      </c>
      <c r="D52" s="65"/>
      <c r="E52" s="5"/>
      <c r="F52" s="65" t="s">
        <v>28</v>
      </c>
      <c r="G52" s="65"/>
      <c r="H52" s="5"/>
    </row>
    <row r="53" spans="1:9" s="3" customFormat="1" ht="15" customHeight="1" x14ac:dyDescent="0.25">
      <c r="B53" s="21" t="s">
        <v>3</v>
      </c>
      <c r="C53" s="66"/>
      <c r="D53" s="67"/>
      <c r="E53" s="29"/>
      <c r="F53" s="67"/>
      <c r="G53" s="67"/>
    </row>
    <row r="54" spans="1:9" s="3" customFormat="1" ht="6" customHeight="1" x14ac:dyDescent="0.25">
      <c r="A54" s="5"/>
      <c r="B54" s="5"/>
      <c r="C54" s="5"/>
      <c r="D54" s="5"/>
      <c r="E54" s="5"/>
      <c r="F54" s="5"/>
      <c r="G54" s="5"/>
      <c r="H54" s="5"/>
    </row>
    <row r="55" spans="1:9" s="3" customFormat="1" ht="15.75" customHeight="1" x14ac:dyDescent="0.25">
      <c r="B55" s="58" t="s">
        <v>20</v>
      </c>
      <c r="C55" s="58"/>
      <c r="D55" s="58"/>
      <c r="E55" s="58"/>
      <c r="F55" s="58"/>
      <c r="G55" s="58"/>
    </row>
    <row r="56" spans="1:9" s="3" customFormat="1" ht="6.75" customHeight="1" x14ac:dyDescent="0.25">
      <c r="A56" s="5"/>
      <c r="B56" s="22"/>
      <c r="C56" s="5"/>
      <c r="D56" s="5"/>
      <c r="E56" s="5"/>
      <c r="F56" s="5"/>
      <c r="G56" s="5"/>
      <c r="H56" s="5"/>
      <c r="I56" s="5"/>
    </row>
    <row r="57" spans="1:9" s="4" customFormat="1" ht="20.25" customHeight="1" x14ac:dyDescent="0.25">
      <c r="B57" s="8"/>
      <c r="C57" s="7" t="s">
        <v>8</v>
      </c>
      <c r="D57" s="23"/>
      <c r="E57" s="7" t="s">
        <v>9</v>
      </c>
      <c r="F57" s="23"/>
      <c r="G57" s="7" t="s">
        <v>10</v>
      </c>
    </row>
    <row r="58" spans="1:9" s="3" customFormat="1" ht="13.65" customHeight="1" x14ac:dyDescent="0.25">
      <c r="B58" s="45" t="s">
        <v>1</v>
      </c>
      <c r="C58" s="30"/>
      <c r="D58" s="31"/>
      <c r="E58" s="30"/>
      <c r="F58" s="31"/>
      <c r="G58" s="32"/>
    </row>
    <row r="59" spans="1:9" s="3" customFormat="1" ht="13.65" customHeight="1" x14ac:dyDescent="0.25">
      <c r="B59" s="45"/>
      <c r="C59" s="30"/>
      <c r="D59" s="31"/>
      <c r="E59" s="30"/>
      <c r="F59" s="31"/>
      <c r="G59" s="32"/>
    </row>
    <row r="60" spans="1:9" s="3" customFormat="1" ht="13.65" customHeight="1" x14ac:dyDescent="0.25">
      <c r="B60" s="45"/>
      <c r="C60" s="30"/>
      <c r="D60" s="31"/>
      <c r="E60" s="30"/>
      <c r="F60" s="31"/>
      <c r="G60" s="32"/>
    </row>
    <row r="61" spans="1:9" s="3" customFormat="1" ht="13.65" customHeight="1" x14ac:dyDescent="0.25">
      <c r="B61" s="45"/>
      <c r="C61" s="30"/>
      <c r="D61" s="31"/>
      <c r="E61" s="30"/>
      <c r="F61" s="31"/>
      <c r="G61" s="32"/>
    </row>
    <row r="62" spans="1:9" s="3" customFormat="1" ht="13.65" customHeight="1" x14ac:dyDescent="0.25">
      <c r="B62" s="45"/>
      <c r="C62" s="30"/>
      <c r="D62" s="31"/>
      <c r="E62" s="30"/>
      <c r="F62" s="31"/>
      <c r="G62" s="32"/>
    </row>
    <row r="63" spans="1:9" s="3" customFormat="1" ht="13.65" customHeight="1" x14ac:dyDescent="0.25">
      <c r="B63" s="45"/>
      <c r="C63" s="30"/>
      <c r="D63" s="31"/>
      <c r="E63" s="30"/>
      <c r="F63" s="31"/>
      <c r="G63" s="32"/>
    </row>
    <row r="64" spans="1:9" s="3" customFormat="1" ht="13.65" customHeight="1" x14ac:dyDescent="0.25">
      <c r="B64" s="45"/>
      <c r="C64" s="30"/>
      <c r="D64" s="31"/>
      <c r="E64" s="30"/>
      <c r="F64" s="31"/>
      <c r="G64" s="32"/>
    </row>
    <row r="65" spans="2:8" s="3" customFormat="1" ht="13.65" customHeight="1" x14ac:dyDescent="0.25">
      <c r="B65" s="45"/>
      <c r="C65" s="30"/>
      <c r="D65" s="31"/>
      <c r="E65" s="30"/>
      <c r="F65" s="31"/>
      <c r="G65" s="32"/>
    </row>
    <row r="66" spans="2:8" s="3" customFormat="1" ht="13.65" customHeight="1" x14ac:dyDescent="0.25">
      <c r="B66" s="45"/>
      <c r="C66" s="30"/>
      <c r="D66" s="31"/>
      <c r="E66" s="30"/>
      <c r="F66" s="31"/>
      <c r="G66" s="32"/>
    </row>
    <row r="67" spans="2:8" s="3" customFormat="1" ht="13.65" customHeight="1" x14ac:dyDescent="0.25">
      <c r="B67" s="45"/>
      <c r="C67" s="30"/>
      <c r="D67" s="31"/>
      <c r="E67" s="30"/>
      <c r="F67" s="31"/>
      <c r="G67" s="32"/>
    </row>
    <row r="68" spans="2:8" s="3" customFormat="1" ht="13.65" customHeight="1" x14ac:dyDescent="0.25">
      <c r="B68" s="45"/>
      <c r="C68" s="30"/>
      <c r="D68" s="31"/>
      <c r="E68" s="33"/>
      <c r="F68" s="31"/>
      <c r="G68" s="34"/>
    </row>
    <row r="69" spans="2:8" s="3" customFormat="1" ht="6.75" customHeight="1" x14ac:dyDescent="0.25">
      <c r="B69" s="45"/>
      <c r="C69" s="30"/>
      <c r="D69" s="31"/>
      <c r="E69" s="31"/>
      <c r="F69" s="31"/>
      <c r="G69" s="35"/>
    </row>
    <row r="70" spans="2:8" s="3" customFormat="1" ht="16.5" customHeight="1" x14ac:dyDescent="0.25">
      <c r="B70" s="44" t="s">
        <v>22</v>
      </c>
      <c r="C70" s="28"/>
      <c r="D70" s="31"/>
      <c r="E70" s="31"/>
      <c r="F70" s="31"/>
      <c r="G70" s="35"/>
    </row>
    <row r="71" spans="2:8" s="3" customFormat="1" ht="16.5" customHeight="1" x14ac:dyDescent="0.25">
      <c r="B71" s="44"/>
      <c r="C71" s="28"/>
      <c r="D71" s="31"/>
      <c r="E71" s="31"/>
      <c r="F71" s="31"/>
      <c r="G71" s="35"/>
    </row>
    <row r="72" spans="2:8" s="3" customFormat="1" ht="15" customHeight="1" x14ac:dyDescent="0.3">
      <c r="B72" s="44"/>
      <c r="C72" s="28"/>
      <c r="D72" s="31"/>
      <c r="E72" s="36"/>
      <c r="F72" s="37"/>
      <c r="G72" s="38">
        <f>C5-G58-G59-G60-G61-G62-G63-G64-G66-G65-G67-G68</f>
        <v>0</v>
      </c>
    </row>
    <row r="73" spans="2:8" s="3" customFormat="1" ht="15" customHeight="1" x14ac:dyDescent="0.3">
      <c r="B73" s="44"/>
      <c r="C73" s="28"/>
      <c r="D73" s="31"/>
      <c r="E73" s="37"/>
      <c r="F73" s="37"/>
      <c r="G73" s="31"/>
    </row>
    <row r="74" spans="2:8" s="3" customFormat="1" ht="15" customHeight="1" x14ac:dyDescent="0.3">
      <c r="B74" s="44"/>
      <c r="C74" s="28"/>
      <c r="D74" s="31"/>
      <c r="E74" s="39"/>
      <c r="F74" s="39"/>
      <c r="G74" s="40"/>
      <c r="H74" s="13"/>
    </row>
    <row r="75" spans="2:8" s="3" customFormat="1" ht="6.75" customHeight="1" x14ac:dyDescent="0.25">
      <c r="B75" s="5"/>
      <c r="C75" s="24"/>
      <c r="D75" s="24"/>
      <c r="E75" s="5"/>
      <c r="G75" s="24"/>
    </row>
    <row r="76" spans="2:8" s="3" customFormat="1" ht="18" customHeight="1" x14ac:dyDescent="0.25">
      <c r="B76" s="5"/>
      <c r="C76" s="24"/>
      <c r="D76" s="24"/>
      <c r="E76" s="51" t="s">
        <v>0</v>
      </c>
      <c r="F76" s="51"/>
      <c r="G76" s="41">
        <f>SUM(G58:G68)+G72</f>
        <v>0</v>
      </c>
    </row>
    <row r="77" spans="2:8" s="3" customFormat="1" ht="14.25" customHeight="1" x14ac:dyDescent="0.25">
      <c r="B77" s="42" t="s">
        <v>2</v>
      </c>
      <c r="C77" s="49"/>
      <c r="D77" s="49"/>
      <c r="E77" s="49"/>
      <c r="F77" s="49"/>
      <c r="G77" s="49"/>
    </row>
    <row r="78" spans="2:8" s="3" customFormat="1" ht="16.8" x14ac:dyDescent="0.25">
      <c r="B78" s="50"/>
      <c r="C78" s="48"/>
      <c r="D78" s="48"/>
      <c r="E78" s="48"/>
      <c r="F78" s="48"/>
      <c r="G78" s="48"/>
    </row>
    <row r="79" spans="2:8" s="3" customFormat="1" ht="15" customHeight="1" x14ac:dyDescent="0.25">
      <c r="B79" s="48"/>
      <c r="C79" s="48"/>
      <c r="D79" s="48"/>
      <c r="E79" s="48"/>
      <c r="F79" s="48"/>
      <c r="G79" s="48"/>
    </row>
    <row r="80" spans="2:8" s="3" customFormat="1" ht="16.8" x14ac:dyDescent="0.25">
      <c r="B80" s="48"/>
      <c r="C80" s="48"/>
      <c r="D80" s="48"/>
      <c r="E80" s="48"/>
      <c r="F80" s="48"/>
      <c r="G80" s="48"/>
    </row>
    <row r="81" spans="2:7" s="3" customFormat="1" ht="16.8" x14ac:dyDescent="0.25">
      <c r="B81" s="48"/>
      <c r="C81" s="48"/>
      <c r="D81" s="48"/>
      <c r="E81" s="48"/>
      <c r="F81" s="48"/>
      <c r="G81" s="48"/>
    </row>
    <row r="82" spans="2:7" s="3" customFormat="1" ht="17.399999999999999" x14ac:dyDescent="0.35">
      <c r="B82" s="46" t="s">
        <v>23</v>
      </c>
      <c r="C82" s="46"/>
      <c r="D82" s="47"/>
      <c r="E82" s="47"/>
      <c r="F82" s="47"/>
      <c r="G82" s="47"/>
    </row>
    <row r="83" spans="2:7" s="3" customFormat="1" ht="15" customHeight="1" x14ac:dyDescent="0.25">
      <c r="D83" s="43"/>
      <c r="E83" s="43"/>
      <c r="F83" s="43"/>
      <c r="G83" s="43"/>
    </row>
    <row r="84" spans="2:7" s="3" customFormat="1" ht="14.4" x14ac:dyDescent="0.25"/>
    <row r="85" spans="2:7" s="3" customFormat="1" ht="14.4" x14ac:dyDescent="0.25"/>
    <row r="86" spans="2:7" s="3" customFormat="1" ht="14.4" x14ac:dyDescent="0.25"/>
    <row r="87" spans="2:7" s="3" customFormat="1" ht="14.4" x14ac:dyDescent="0.25"/>
    <row r="88" spans="2:7" s="3" customFormat="1" ht="14.4" x14ac:dyDescent="0.25"/>
    <row r="89" spans="2:7" s="3" customFormat="1" ht="14.4" x14ac:dyDescent="0.25"/>
    <row r="90" spans="2:7" s="3" customFormat="1" ht="14.4" x14ac:dyDescent="0.25"/>
    <row r="91" spans="2:7" s="3" customFormat="1" ht="14.4" x14ac:dyDescent="0.25"/>
    <row r="92" spans="2:7" s="3" customFormat="1" ht="14.4" x14ac:dyDescent="0.25"/>
    <row r="93" spans="2:7" s="3" customFormat="1" ht="14.4" x14ac:dyDescent="0.25"/>
    <row r="94" spans="2:7" s="3" customFormat="1" ht="14.4" x14ac:dyDescent="0.25"/>
    <row r="95" spans="2:7" s="3" customFormat="1" ht="14.4" x14ac:dyDescent="0.25"/>
    <row r="96" spans="2:7" s="3" customFormat="1" ht="14.4" x14ac:dyDescent="0.25"/>
    <row r="97" s="3" customFormat="1" ht="14.4" x14ac:dyDescent="0.25"/>
    <row r="98" s="3" customFormat="1" ht="14.4" x14ac:dyDescent="0.25"/>
    <row r="99" s="3" customFormat="1" ht="14.4" x14ac:dyDescent="0.25"/>
    <row r="100" s="3" customFormat="1" ht="14.4" x14ac:dyDescent="0.25"/>
    <row r="101" s="3" customFormat="1" ht="14.4" x14ac:dyDescent="0.25"/>
    <row r="102" s="3" customFormat="1" ht="14.4" x14ac:dyDescent="0.25"/>
    <row r="103" s="2" customFormat="1" ht="13.8" x14ac:dyDescent="0.25"/>
    <row r="104" s="2" customFormat="1" ht="13.8" x14ac:dyDescent="0.25"/>
    <row r="105" s="2" customFormat="1" ht="13.8" x14ac:dyDescent="0.25"/>
    <row r="106" s="2" customFormat="1" ht="13.8" x14ac:dyDescent="0.25"/>
    <row r="107" s="2" customFormat="1" ht="13.8" x14ac:dyDescent="0.25"/>
    <row r="108" s="2" customFormat="1" ht="13.8" x14ac:dyDescent="0.25"/>
    <row r="109" s="2" customFormat="1" ht="13.8" x14ac:dyDescent="0.25"/>
    <row r="110" s="2" customFormat="1" ht="13.8" x14ac:dyDescent="0.25"/>
    <row r="111" s="2" customFormat="1" ht="13.8" x14ac:dyDescent="0.25"/>
    <row r="112" s="2" customFormat="1" ht="13.8" x14ac:dyDescent="0.25"/>
    <row r="113" s="2" customFormat="1" ht="13.8" x14ac:dyDescent="0.25"/>
    <row r="114" s="2" customFormat="1" ht="13.8" x14ac:dyDescent="0.25"/>
    <row r="115" s="2" customFormat="1" ht="13.8" x14ac:dyDescent="0.25"/>
    <row r="116" s="2" customFormat="1" ht="13.8" x14ac:dyDescent="0.25"/>
    <row r="117" s="2" customFormat="1" ht="13.8" x14ac:dyDescent="0.25"/>
    <row r="118" s="2" customFormat="1" ht="13.8" x14ac:dyDescent="0.25"/>
    <row r="119" s="2" customFormat="1" ht="13.8" x14ac:dyDescent="0.25"/>
    <row r="120" s="2" customFormat="1" ht="13.8" x14ac:dyDescent="0.25"/>
    <row r="121" s="2" customFormat="1" ht="13.8" x14ac:dyDescent="0.25"/>
    <row r="122" s="2" customFormat="1" ht="13.8" x14ac:dyDescent="0.25"/>
    <row r="123" s="2" customFormat="1" ht="13.8" x14ac:dyDescent="0.25"/>
    <row r="124" s="2" customFormat="1" ht="13.8" x14ac:dyDescent="0.25"/>
    <row r="125" s="2" customFormat="1" ht="13.8" x14ac:dyDescent="0.25"/>
    <row r="126" s="2" customFormat="1" ht="13.8" x14ac:dyDescent="0.25"/>
    <row r="127" s="2" customFormat="1" ht="13.8" x14ac:dyDescent="0.25"/>
    <row r="128" s="2" customFormat="1" ht="13.8" x14ac:dyDescent="0.25"/>
    <row r="129" s="2" customFormat="1" ht="13.8" x14ac:dyDescent="0.25"/>
    <row r="130" s="2" customFormat="1" ht="13.8" x14ac:dyDescent="0.25"/>
    <row r="131" s="2" customFormat="1" ht="13.8" x14ac:dyDescent="0.25"/>
    <row r="132" s="2" customFormat="1" ht="13.8" x14ac:dyDescent="0.25"/>
    <row r="133" s="2" customFormat="1" ht="13.8" x14ac:dyDescent="0.25"/>
    <row r="134" s="2" customFormat="1" ht="13.8" x14ac:dyDescent="0.25"/>
    <row r="135" s="2" customFormat="1" ht="13.8" x14ac:dyDescent="0.25"/>
    <row r="136" s="2" customFormat="1" ht="13.8" x14ac:dyDescent="0.25"/>
    <row r="137" s="2" customFormat="1" ht="13.8" x14ac:dyDescent="0.25"/>
    <row r="138" s="2" customFormat="1" ht="13.8" x14ac:dyDescent="0.25"/>
    <row r="139" s="2" customFormat="1" ht="13.8" x14ac:dyDescent="0.25"/>
    <row r="140" s="2" customFormat="1" ht="13.8" x14ac:dyDescent="0.25"/>
    <row r="141" s="2" customFormat="1" ht="13.8" x14ac:dyDescent="0.25"/>
    <row r="142" s="2" customFormat="1" ht="13.8" x14ac:dyDescent="0.25"/>
    <row r="143" s="2" customFormat="1" ht="13.8" x14ac:dyDescent="0.25"/>
    <row r="144" s="2" customFormat="1" ht="13.8" x14ac:dyDescent="0.25"/>
    <row r="145" s="2" customFormat="1" ht="13.8" x14ac:dyDescent="0.25"/>
    <row r="146" s="2" customFormat="1" ht="13.8" x14ac:dyDescent="0.25"/>
    <row r="147" s="2" customFormat="1" ht="13.8" x14ac:dyDescent="0.25"/>
    <row r="148" s="2" customFormat="1" ht="13.8" x14ac:dyDescent="0.25"/>
    <row r="149" s="2" customFormat="1" ht="13.8" x14ac:dyDescent="0.25"/>
    <row r="150" s="2" customFormat="1" ht="13.8" x14ac:dyDescent="0.25"/>
    <row r="151" s="2" customFormat="1" ht="13.8" x14ac:dyDescent="0.25"/>
    <row r="152" s="2" customFormat="1" ht="13.8" x14ac:dyDescent="0.25"/>
    <row r="153" s="2" customFormat="1" ht="13.8" x14ac:dyDescent="0.25"/>
    <row r="154" s="2" customFormat="1" ht="13.8" x14ac:dyDescent="0.25"/>
    <row r="155" s="2" customFormat="1" ht="13.8" x14ac:dyDescent="0.25"/>
    <row r="156" s="2" customFormat="1" ht="13.8" x14ac:dyDescent="0.25"/>
    <row r="157" s="2" customFormat="1" ht="13.8" x14ac:dyDescent="0.25"/>
    <row r="158" s="2" customFormat="1" ht="13.8" x14ac:dyDescent="0.25"/>
    <row r="159" s="2" customFormat="1" ht="13.8" x14ac:dyDescent="0.25"/>
    <row r="160" s="2" customFormat="1" ht="13.8" x14ac:dyDescent="0.25"/>
    <row r="161" s="2" customFormat="1" ht="13.8" x14ac:dyDescent="0.25"/>
    <row r="162" s="2" customFormat="1" ht="13.8" x14ac:dyDescent="0.25"/>
    <row r="163" s="2" customFormat="1" ht="13.8" x14ac:dyDescent="0.25"/>
    <row r="164" s="2" customFormat="1" ht="13.8" x14ac:dyDescent="0.25"/>
    <row r="165" s="2" customFormat="1" ht="13.8" x14ac:dyDescent="0.25"/>
    <row r="166" s="2" customFormat="1" ht="13.8" x14ac:dyDescent="0.25"/>
    <row r="167" s="2" customFormat="1" ht="13.8" x14ac:dyDescent="0.25"/>
    <row r="168" s="2" customFormat="1" ht="13.8" x14ac:dyDescent="0.25"/>
    <row r="169" s="2" customFormat="1" ht="13.8" x14ac:dyDescent="0.25"/>
    <row r="170" s="2" customFormat="1" ht="13.8" x14ac:dyDescent="0.25"/>
    <row r="171" s="2" customFormat="1" ht="13.8" x14ac:dyDescent="0.25"/>
    <row r="172" s="2" customFormat="1" ht="13.8" x14ac:dyDescent="0.25"/>
    <row r="173" s="2" customFormat="1" ht="13.8" x14ac:dyDescent="0.25"/>
    <row r="174" s="2" customFormat="1" ht="13.8" x14ac:dyDescent="0.25"/>
    <row r="175" s="2" customFormat="1" ht="13.8" x14ac:dyDescent="0.25"/>
    <row r="176" s="2" customFormat="1" ht="13.8" x14ac:dyDescent="0.25"/>
    <row r="177" s="2" customFormat="1" ht="13.8" x14ac:dyDescent="0.25"/>
    <row r="178" s="2" customFormat="1" ht="13.8" x14ac:dyDescent="0.25"/>
    <row r="179" s="2" customFormat="1" ht="13.8" x14ac:dyDescent="0.25"/>
    <row r="180" s="2" customFormat="1" ht="13.8" x14ac:dyDescent="0.25"/>
    <row r="181" s="2" customFormat="1" ht="13.8" x14ac:dyDescent="0.25"/>
    <row r="182" s="2" customFormat="1" ht="13.8" x14ac:dyDescent="0.25"/>
    <row r="183" s="2" customFormat="1" ht="13.8" x14ac:dyDescent="0.25"/>
    <row r="184" s="2" customFormat="1" ht="13.8" x14ac:dyDescent="0.25"/>
    <row r="185" s="2" customFormat="1" ht="13.8" x14ac:dyDescent="0.25"/>
    <row r="186" s="2" customFormat="1" ht="13.8" x14ac:dyDescent="0.25"/>
    <row r="187" s="2" customFormat="1" ht="13.8" x14ac:dyDescent="0.25"/>
    <row r="188" s="2" customFormat="1" ht="13.8" x14ac:dyDescent="0.25"/>
    <row r="189" s="2" customFormat="1" ht="13.8" x14ac:dyDescent="0.25"/>
    <row r="190" s="2" customFormat="1" ht="13.8" x14ac:dyDescent="0.25"/>
    <row r="191" s="2" customFormat="1" ht="13.8" x14ac:dyDescent="0.25"/>
    <row r="192" s="2" customFormat="1" ht="13.8" x14ac:dyDescent="0.25"/>
    <row r="193" s="2" customFormat="1" ht="13.8" x14ac:dyDescent="0.25"/>
    <row r="194" s="2" customFormat="1" ht="13.8" x14ac:dyDescent="0.25"/>
    <row r="195" s="2" customFormat="1" ht="13.8" x14ac:dyDescent="0.25"/>
    <row r="196" s="2" customFormat="1" ht="13.8" x14ac:dyDescent="0.25"/>
    <row r="197" s="2" customFormat="1" ht="13.8" x14ac:dyDescent="0.25"/>
    <row r="198" s="2" customFormat="1" ht="13.8" x14ac:dyDescent="0.25"/>
    <row r="199" s="2" customFormat="1" ht="13.8" x14ac:dyDescent="0.25"/>
    <row r="200" s="2" customFormat="1" ht="13.8" x14ac:dyDescent="0.25"/>
    <row r="201" s="2" customFormat="1" ht="13.8" x14ac:dyDescent="0.25"/>
    <row r="202" s="2" customFormat="1" ht="13.8" x14ac:dyDescent="0.25"/>
    <row r="203" s="2" customFormat="1" ht="13.8" x14ac:dyDescent="0.25"/>
    <row r="204" s="2" customFormat="1" ht="13.8" x14ac:dyDescent="0.25"/>
    <row r="205" s="2" customFormat="1" ht="13.8" x14ac:dyDescent="0.25"/>
  </sheetData>
  <sheetProtection algorithmName="SHA-512" hashValue="GCClEqN33iS/JOorx0qOMdCtTMiaCl6kVVKNkstDEp0WRxUyXCJNZNig6zAX+mI9+DK2i4bPfshphxlTGSt2AA==" saltValue="cck3j2RNPwv+tyuJ4S7P9Q==" spinCount="100000" sheet="1" objects="1" scenarios="1" deleteColumns="0" deleteRows="0"/>
  <mergeCells count="57">
    <mergeCell ref="B19:G19"/>
    <mergeCell ref="B1:G1"/>
    <mergeCell ref="C3:F3"/>
    <mergeCell ref="C5:G5"/>
    <mergeCell ref="B7:G7"/>
    <mergeCell ref="E9:G9"/>
    <mergeCell ref="E10:G10"/>
    <mergeCell ref="E11:G11"/>
    <mergeCell ref="E12:G12"/>
    <mergeCell ref="B14:G14"/>
    <mergeCell ref="E16:G16"/>
    <mergeCell ref="E17:G17"/>
    <mergeCell ref="E34:G34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32:G32"/>
    <mergeCell ref="C47:G47"/>
    <mergeCell ref="E35:G35"/>
    <mergeCell ref="E36:G36"/>
    <mergeCell ref="E37:G37"/>
    <mergeCell ref="E38:G38"/>
    <mergeCell ref="E40:G40"/>
    <mergeCell ref="E41:G41"/>
    <mergeCell ref="E42:G42"/>
    <mergeCell ref="E43:G43"/>
    <mergeCell ref="E44:G44"/>
    <mergeCell ref="B46:C46"/>
    <mergeCell ref="E46:G46"/>
    <mergeCell ref="E76:F76"/>
    <mergeCell ref="B48:D48"/>
    <mergeCell ref="E48:G48"/>
    <mergeCell ref="B49:D49"/>
    <mergeCell ref="E49:G49"/>
    <mergeCell ref="B51:G51"/>
    <mergeCell ref="C52:D52"/>
    <mergeCell ref="F52:G52"/>
    <mergeCell ref="C53:D53"/>
    <mergeCell ref="F53:G53"/>
    <mergeCell ref="B55:G55"/>
    <mergeCell ref="B58:B69"/>
    <mergeCell ref="B70:B74"/>
    <mergeCell ref="D83:G83"/>
    <mergeCell ref="C77:G77"/>
    <mergeCell ref="B78:G78"/>
    <mergeCell ref="B79:G79"/>
    <mergeCell ref="B80:G80"/>
    <mergeCell ref="B81:G81"/>
    <mergeCell ref="B82:C82"/>
    <mergeCell ref="D82:G82"/>
  </mergeCells>
  <pageMargins left="1.7716535433070868" right="0.23622047244094491" top="0.59055118110236227" bottom="0.59055118110236227" header="0.31496062992125984" footer="0.31496062992125984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'01'!Área_de_impresión</vt:lpstr>
      <vt:lpstr>'02'!Área_de_impresión</vt:lpstr>
      <vt:lpstr>'03'!Área_de_impresión</vt:lpstr>
      <vt:lpstr>'04'!Área_de_impresión</vt:lpstr>
      <vt:lpstr>'05'!Área_de_impresión</vt:lpstr>
      <vt:lpstr>'06'!Área_de_impresión</vt:lpstr>
      <vt:lpstr>'07'!Área_de_impresión</vt:lpstr>
      <vt:lpstr>'08'!Área_de_impresión</vt:lpstr>
      <vt:lpstr>'09'!Área_de_impresión</vt:lpstr>
      <vt:lpstr>'10'!Área_de_impresión</vt:lpstr>
      <vt:lpstr>'11'!Área_de_impresión</vt:lpstr>
      <vt:lpstr>'12'!Área_de_impresión</vt:lpstr>
      <vt:lpstr>'13'!Área_de_impresión</vt:lpstr>
      <vt:lpstr>'14'!Área_de_impresión</vt:lpstr>
      <vt:lpstr>'15'!Área_de_impresión</vt:lpstr>
      <vt:lpstr>'16'!Área_de_impresión</vt:lpstr>
      <vt:lpstr>'17'!Área_de_impresión</vt:lpstr>
      <vt:lpstr>'18'!Área_de_impresión</vt:lpstr>
      <vt:lpstr>'19'!Área_de_impresión</vt:lpstr>
      <vt:lpstr>'20'!Área_de_impresión</vt:lpstr>
      <vt:lpstr>'21'!Área_de_impresión</vt:lpstr>
      <vt:lpstr>'22'!Área_de_impresión</vt:lpstr>
      <vt:lpstr>'23'!Área_de_impresión</vt:lpstr>
      <vt:lpstr>'24'!Área_de_impresión</vt:lpstr>
      <vt:lpstr>'25'!Área_de_impresión</vt:lpstr>
      <vt:lpstr>'26'!Área_de_impresión</vt:lpstr>
      <vt:lpstr>'27'!Área_de_impresión</vt:lpstr>
      <vt:lpstr>'28'!Área_de_impresión</vt:lpstr>
      <vt:lpstr>'29'!Área_de_impresión</vt:lpstr>
      <vt:lpstr>'30'!Área_de_impresión</vt:lpstr>
      <vt:lpstr>'31'!Área_de_impresión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Luis Garcia</cp:lastModifiedBy>
  <cp:lastPrinted>2026-09-05T03:05:50Z</cp:lastPrinted>
  <dcterms:created xsi:type="dcterms:W3CDTF">2023-01-16T14:47:44Z</dcterms:created>
  <dcterms:modified xsi:type="dcterms:W3CDTF">2026-09-05T19:23:08Z</dcterms:modified>
</cp:coreProperties>
</file>